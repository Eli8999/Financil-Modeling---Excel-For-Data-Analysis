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af8eb5ba838f2ea/Desktop/Models/"/>
    </mc:Choice>
  </mc:AlternateContent>
  <xr:revisionPtr revIDLastSave="1" documentId="8_{7384A2A1-73A4-47AD-A80D-499A1E32F637}" xr6:coauthVersionLast="47" xr6:coauthVersionMax="47" xr10:uidLastSave="{EF891701-F804-4033-A9C4-9904E71C7117}"/>
  <bookViews>
    <workbookView xWindow="-120" yWindow="-120" windowWidth="20730" windowHeight="11040" firstSheet="1" activeTab="3" xr2:uid="{FF305B67-F97D-44DA-BFB6-F7C05CAB036C}"/>
  </bookViews>
  <sheets>
    <sheet name="PB_CACHE" sheetId="5" state="veryHidden" r:id="rId1"/>
    <sheet name="RiverCross Final" sheetId="11" r:id="rId2"/>
    <sheet name="RiverCross + Bridge + Tunnel" sheetId="12" r:id="rId3"/>
    <sheet name="Gov't" sheetId="13" r:id="rId4"/>
  </sheets>
  <externalReferences>
    <externalReference r:id="rId5"/>
    <externalReference r:id="rId6"/>
  </externalReferences>
  <definedNames>
    <definedName name="abc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Alt_Chk_1_Hdg" hidden="1">[1]BFinTax!$B$121</definedName>
    <definedName name="Alt_Chk_10_Hdg" hidden="1">[1]BAssets!$B$126</definedName>
    <definedName name="Alt_Chk_11_Hdg" hidden="1">[1]BBalances!$B$110</definedName>
    <definedName name="Alt_Chk_12_Hdg" hidden="1">[1]BBalances!$B$42</definedName>
    <definedName name="Alt_Chk_13_Hdg" hidden="1">[1]BRevExp!$B$110</definedName>
    <definedName name="Alt_Chk_14_Hdg" hidden="1">[1]BFinTax!$B$271</definedName>
    <definedName name="Alt_Chk_15_Hdg" hidden="1">[1]BRevExp!$B$148</definedName>
    <definedName name="Alt_Chk_16_Hdg" hidden="1">[1]BRevExp!$B$173</definedName>
    <definedName name="Alt_Chk_17_Hdg" hidden="1">[1]BmFS!$B$188</definedName>
    <definedName name="Alt_Chk_18_Hdg" hidden="1">[1]BFinTax!$B$219</definedName>
    <definedName name="Alt_Chk_19_Hdg" hidden="1">[1]Monthly!$B$150</definedName>
    <definedName name="Alt_Chk_2_Hdg" hidden="1">[1]BAssets!$B$16</definedName>
    <definedName name="Alt_Chk_20_Hdg" hidden="1">[1]BmFS!$B$747</definedName>
    <definedName name="Alt_Chk_21_Hdg" hidden="1">[1]ZRevExp!$B$16</definedName>
    <definedName name="Alt_Chk_22_Hdg" hidden="1">[1]ZRevExp!$B$74</definedName>
    <definedName name="Alt_Chk_23_Hdg" hidden="1">[1]ZRevExp!$B$147</definedName>
    <definedName name="Alt_Chk_24_Hdg" hidden="1">[1]ZRevExp!$B$195</definedName>
    <definedName name="Alt_Chk_25_Hdg" hidden="1">[1]ZRevExp!$B$220</definedName>
    <definedName name="Alt_Chk_26_Hdg" hidden="1">[1]ZBalances!$B$16</definedName>
    <definedName name="Alt_Chk_27_Hdg" hidden="1">[1]ZBalances!$B$84</definedName>
    <definedName name="Alt_Chk_28_Hdg" hidden="1">[1]ZBalances!$B$150</definedName>
    <definedName name="Alt_Chk_29_Hdg" hidden="1">[1]ZBalances!$B$227</definedName>
    <definedName name="Alt_Chk_3_Hdg" hidden="1">[1]BFinTax!$B$394</definedName>
    <definedName name="Alt_Chk_30_Hdg" hidden="1">[1]ZAssets!$B$16</definedName>
    <definedName name="Alt_Chk_31_Hdg" hidden="1">[1]ZAssets!$B$35</definedName>
    <definedName name="Alt_Chk_32_Hdg" hidden="1">[1]ZAssets!$B$85</definedName>
    <definedName name="Alt_Chk_33_Hdg" hidden="1">[1]ZAssets!$B$104</definedName>
    <definedName name="Alt_Chk_34_Hdg" hidden="1">[1]BFinTax!$B$170</definedName>
    <definedName name="Alt_Chk_35_Hdg" hidden="1">[1]ZFinTax!$B$161</definedName>
    <definedName name="Alt_Chk_36_Hdg" hidden="1">[1]ZFinTax!$B$111</definedName>
    <definedName name="Alt_Chk_37_Hdg" hidden="1">[1]ZFinTax!$B$276</definedName>
    <definedName name="Alt_Chk_38_Hdg" hidden="1">[1]ZmFS!$B$188</definedName>
    <definedName name="Alt_Chk_39_Hdg" hidden="1">[1]ZmFS!$B$722</definedName>
    <definedName name="Alt_Chk_4_Hdg" hidden="1">[1]BRevExp!$B$72</definedName>
    <definedName name="Alt_Chk_40_Hdg" hidden="1">[1]ZFinTax!$B$62</definedName>
    <definedName name="Alt_Chk_41_Hdg" hidden="1">[1]BaFS!$B$128</definedName>
    <definedName name="Alt_Chk_42_Hdg" hidden="1">[1]BFinTax!$B$64</definedName>
    <definedName name="Alt_Chk_43_Hdg" hidden="1">[1]BRevExp!$B$54</definedName>
    <definedName name="Alt_Chk_44_Hdg" hidden="1">[1]ZaFS!$B$130</definedName>
    <definedName name="Alt_Chk_5_Hdg" hidden="1">[1]BBalances!$B$76</definedName>
    <definedName name="Alt_Chk_6_Hdg" hidden="1">[1]BRevExp!$B$16</definedName>
    <definedName name="Alt_Chk_7_Hdg" hidden="1">[1]BBalances!$B$16</definedName>
    <definedName name="Alt_Chk_8_Hdg" hidden="1">[1]BAssets!$B$56</definedName>
    <definedName name="Alt_Chk_9_Hdg" hidden="1">[1]BAssets!$B$145</definedName>
    <definedName name="appendix4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BLPB1" hidden="1">#REF!</definedName>
    <definedName name="BLPH1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9" hidden="1">#REF!</definedName>
    <definedName name="CIQWBGuid" hidden="1">"2cd8126d-26c3-430c-b7fa-a069e3a1fc62"</definedName>
    <definedName name="CIQWBInfo" hidden="1">"{ ""CIQVersion"":""9.50.2716.4594"" }"</definedName>
    <definedName name="ENG_BI_EXE_NAME" hidden="1">"BICORE.EXE"</definedName>
    <definedName name="ENG_BI_EXEC_CMD_ARGS" hidden="1">"03304607808407507808409307807808703704607003604507812808407808506607809309606808406807306609008808508508707012612407206608809408007806805412513209611311910512210211611007706608707408308707308206508708007407406808007406805213012309911711411412709712010"</definedName>
    <definedName name="ENG_BI_EXEC_CMD_ARGS_2" hidden="1">"60690670710650880700760880780620900880770860880651291280951211231051221021171020720660890880690910680980991080981011141051141301231041211141091230981171050680700850650920900880790910690620880670860700770670580510630540560560630500520540590590590560590"</definedName>
    <definedName name="ENG_BI_EXEC_CMD_ARGS_3" hidden="1">"63052060058053063062056068061057063054053060054049052064054063066053051068050049054059053054052068058054057064051053063049054054059059057052059066054060054048057064050059064059053055052060053048058064049059060126123104113118103108109104076074087071071"</definedName>
    <definedName name="ENG_BI_EXEC_CMD_ARGS_4" hidden="1">"084069070065101114130123104119118098117106100070067071085065076077066088094081070065053129128095121124099108114100066072067084070067085088071083083086084073082065089071082091085069087084126128079086073069091078068084070083066081083065054125"</definedName>
    <definedName name="ENG_BI_EXEC_CMD_ARGS_5" hidden="1">"1058126"</definedName>
    <definedName name="ENG_BI_GEN_LIC" hidden="1">"0"</definedName>
    <definedName name="ENG_BI_GEN_LIC_WS" hidden="1">"True"</definedName>
    <definedName name="ENG_BI_LANG_CODE" hidden="1">"en"</definedName>
    <definedName name="ENG_BI_LBI" hidden="1">"R5YS18XWOF"</definedName>
    <definedName name="ENG_BI_PROFILE_PATH" hidden="1">"C:\ProgramData\Alchemex\AlchemexSmartReporting\MetaData\Demonstration Report Designer S300SQL 1-0\BICORE_profiler_20130710_190246.csv"</definedName>
    <definedName name="ENG_BI_REPOS_FILE" hidden="1">"\\RPACCPAC3\SageData\BXDATA\SQL\alchemex.svd"</definedName>
    <definedName name="ENG_BI_REPOS_PATH" hidden="1">"\\RPACCPAC3\SageData\BXDATA\SQL\"</definedName>
    <definedName name="ENG_BI_TLA" hidden="1">"20;142;224;227;155;74;112;104;123;144;190;226;213;111;208;166;107;83;188;84;31;210;256;278;252;73;174;182;229;82;173;72"</definedName>
    <definedName name="ENG_BI_TLA2" hidden="1">"216;241;41;199;127;139;129;114;92;130;172;139;79;87;72;255;128;59;82;1;22;119;31;1;138;168;51;93;136;172;175;220"</definedName>
    <definedName name="Err_Chk_1_Hdg" hidden="1">[1]BHist!$B$98</definedName>
    <definedName name="Err_Chk_10_Hdg" hidden="1">[1]BFinTax!$B$121</definedName>
    <definedName name="Err_Chk_11_Hdg" hidden="1">[1]BRevExp!$B$148</definedName>
    <definedName name="Err_Chk_12_Hdg" hidden="1">[1]BRevExp!$B$173</definedName>
    <definedName name="Err_Chk_13_Hdg" hidden="1">[1]BAssets!$B$145</definedName>
    <definedName name="Err_Chk_14_Hdg" hidden="1">[1]BAssets!$B$126</definedName>
    <definedName name="Err_Chk_15_Hdg" hidden="1">[1]BFinTax!$B$22</definedName>
    <definedName name="Err_Chk_16_Hdg" hidden="1">[1]BBalances!$B$110</definedName>
    <definedName name="Err_Chk_17_Hdg" hidden="1">[1]BBalances!$B$42</definedName>
    <definedName name="Err_Chk_18_Hdg" hidden="1">[1]BRevExp!$B$110</definedName>
    <definedName name="Err_Chk_19_Hdg" hidden="1">[1]BFinTax!$B$271</definedName>
    <definedName name="Err_Chk_2_Hdg" hidden="1">[1]BAssets!$B$16</definedName>
    <definedName name="Err_Chk_20_Hdg" hidden="1">[1]BBalances!$B$171</definedName>
    <definedName name="Err_Chk_21_Hdg" hidden="1">[1]BRevExp!$B$16</definedName>
    <definedName name="Err_Chk_22_Hdg" hidden="1">[1]BmFS!$B$16</definedName>
    <definedName name="Err_Chk_23_Hdg" hidden="1">[1]BmFS!$B$188</definedName>
    <definedName name="Err_Chk_24_Hdg" hidden="1">[1]BFinTax!$B$16</definedName>
    <definedName name="Err_Chk_25_Hdg" hidden="1">[1]BFinTax!$B$219</definedName>
    <definedName name="Err_Chk_26_Hdg" hidden="1">[1]ZaFS!$B$130</definedName>
    <definedName name="Err_Chk_27_Hdg" hidden="1">[1]BmFS!$B$434</definedName>
    <definedName name="Err_Chk_28_Hdg" hidden="1">[1]ZaFS!$B$237</definedName>
    <definedName name="Err_Chk_29_Hdg" hidden="1">[1]z5Yr!$B$1</definedName>
    <definedName name="Err_Chk_3_Hdg" hidden="1">[1]BHist!$B$16</definedName>
    <definedName name="Err_Chk_36_Hdg" hidden="1">[1]BBalances!$B$215</definedName>
    <definedName name="Err_Chk_37_Hdg" hidden="1">[1]BBalances!$B$259</definedName>
    <definedName name="Err_Chk_38_Hdg" hidden="1">[1]BBalances!$B$345</definedName>
    <definedName name="Err_Chk_39_Hdg" hidden="1">[1]BFinTax!$B$364</definedName>
    <definedName name="Err_Chk_4_Hdg" hidden="1">[1]BFinTax!$B$394</definedName>
    <definedName name="Err_Chk_40_Hdg" hidden="1">[1]Other!$B$16</definedName>
    <definedName name="Err_Chk_41_Hdg" hidden="1">[1]Ent_Sum!$B$4</definedName>
    <definedName name="Err_Chk_42_Hdg" hidden="1">[1]Monthly!$B$16</definedName>
    <definedName name="Err_Chk_43_Hdg" hidden="1">[1]Monthly!$B$150</definedName>
    <definedName name="Err_Chk_44_Hdg" hidden="1">[1]Monthly!$B$329</definedName>
    <definedName name="Err_Chk_45_Hdg" hidden="1">[1]BmFS!$B$624</definedName>
    <definedName name="Err_Chk_46_Hdg" hidden="1">[1]BmFS!$B$747</definedName>
    <definedName name="Err_Chk_47_Hdg" hidden="1">[1]BmFS!$B$884</definedName>
    <definedName name="Err_Chk_49_Hdg" hidden="1">[1]ZHist!$B$16</definedName>
    <definedName name="Err_Chk_5_Hdg" hidden="1">[1]BRevExp!$B$72</definedName>
    <definedName name="Err_Chk_50_Hdg" hidden="1">[1]ZHist!$B$103</definedName>
    <definedName name="Err_Chk_51_Hdg" hidden="1">[1]ZRevExp!$B$16</definedName>
    <definedName name="Err_Chk_52_Hdg" hidden="1">[1]ZRevExp!$B$74</definedName>
    <definedName name="Err_Chk_53_Hdg" hidden="1">[1]ZRevExp!$B$147</definedName>
    <definedName name="Err_Chk_54_Hdg" hidden="1">[1]ZRevExp!$B$195</definedName>
    <definedName name="Err_Chk_55_Hdg" hidden="1">[1]ZRevExp!$B$220</definedName>
    <definedName name="Err_Chk_56_Hdg" hidden="1">[1]ZBalances!$B$16</definedName>
    <definedName name="Err_Chk_57_Hdg" hidden="1">[1]ZBalances!$B$84</definedName>
    <definedName name="Err_Chk_58_Hdg" hidden="1">[1]ZBalances!$B$150</definedName>
    <definedName name="Err_Chk_59_Hdg" hidden="1">[1]ZBalances!$B$227</definedName>
    <definedName name="Err_Chk_6_Hdg" hidden="1">[1]BBalances!$B$76</definedName>
    <definedName name="Err_Chk_60_Hdg" hidden="1">[1]ZAssets!$B$16</definedName>
    <definedName name="Err_Chk_61_Hdg" hidden="1">[1]ZAssets!$B$35</definedName>
    <definedName name="Err_Chk_62_Hdg" hidden="1">[1]ZAssets!$B$85</definedName>
    <definedName name="Err_Chk_63_Hdg" hidden="1">[1]ZAssets!$B$104</definedName>
    <definedName name="Err_Chk_64_Hdg" hidden="1">[1]ZFinTax!$B$16</definedName>
    <definedName name="Err_Chk_65_Hdg" hidden="1">[1]ZFinTax!$B$40</definedName>
    <definedName name="Err_Chk_66_Hdg" hidden="1">[1]BFinTax!$B$64</definedName>
    <definedName name="Err_Chk_67_Hdg" hidden="1">[1]ZFinTax!$B$161</definedName>
    <definedName name="Err_Chk_68_Hdg" hidden="1">[1]ZFinTax!$B$111</definedName>
    <definedName name="Err_Chk_69_Hdg" hidden="1">[1]ZFinTax!$B$276</definedName>
    <definedName name="Err_Chk_7_Hdg" hidden="1">[1]BFinTax!$B$40</definedName>
    <definedName name="Err_Chk_70_Hdg" hidden="1">[1]ZFinTax!$B$22</definedName>
    <definedName name="Err_Chk_71_Hdg" hidden="1">[1]ZBalances!$B$287</definedName>
    <definedName name="Err_Chk_72_Hdg" hidden="1">[1]ZBalances!$B$317</definedName>
    <definedName name="Err_Chk_73_Hdg" hidden="1">[1]ZBalances!$B$347</definedName>
    <definedName name="Err_Chk_74_Hdg" hidden="1">[1]ZBalances!$B$398</definedName>
    <definedName name="Err_Chk_75_Hdg" hidden="1">[1]ZFinTax!$B$246</definedName>
    <definedName name="Err_Chk_76_Hdg" hidden="1">[1]ZmFS!$B$16</definedName>
    <definedName name="Err_Chk_77_Hdg" hidden="1">[1]ZmFS!$B$188</definedName>
    <definedName name="Err_Chk_78_Hdg" hidden="1">[1]ZmFS!$B$414</definedName>
    <definedName name="Err_Chk_79_Hdg" hidden="1">[1]ZmFS!$B$599</definedName>
    <definedName name="Err_Chk_8_Hdg" hidden="1">[1]BBalances!$B$16</definedName>
    <definedName name="Err_Chk_80_Hdg" hidden="1">[1]ZmFS!$B$722</definedName>
    <definedName name="Err_Chk_81_Hdg" hidden="1">[1]ZmFS!$B$838</definedName>
    <definedName name="Err_Chk_83_Hdg" hidden="1">[1]ZFinTax!$B$62</definedName>
    <definedName name="Err_Chk_84_Hdg" hidden="1">[1]ZVal!$B$16</definedName>
    <definedName name="Err_Chk_85_Hdg" hidden="1">[1]BFinTax!$B$170</definedName>
    <definedName name="Err_Chk_87_Hdg" hidden="1">[1]BaFS!$B$256</definedName>
    <definedName name="Err_Chk_88_Hdg" hidden="1">[1]BaFS!$B$128</definedName>
    <definedName name="Err_Chk_89_Hdg" hidden="1">[1]B5Yr!$B$1</definedName>
    <definedName name="Err_Chk_9_Hdg" hidden="1">[1]BAssets!$B$56</definedName>
    <definedName name="Err_Chk_90_Hdg" hidden="1">[1]BaFS!$B$11</definedName>
    <definedName name="Err_Chk_91_Hdg" hidden="1">[1]ZaFS!$B$11</definedName>
    <definedName name="Err_Chk_92_Hdg" hidden="1">[1]BRevExp!$B$54</definedName>
    <definedName name="HL_Alt_Chk_1" hidden="1">[1]BFinTax!$I$168</definedName>
    <definedName name="HL_Alt_Chk_10" hidden="1">[1]BAssets!$I$143</definedName>
    <definedName name="HL_Alt_Chk_11" hidden="1">[1]BBalances!$I$169</definedName>
    <definedName name="HL_Alt_Chk_12" hidden="1">[1]BBalances!$I$74</definedName>
    <definedName name="HL_Alt_Chk_13" hidden="1">[1]BRevExp!$I$146</definedName>
    <definedName name="HL_Alt_Chk_14" hidden="1">[1]BFinTax!$I$344</definedName>
    <definedName name="HL_Alt_Chk_15" hidden="1">[1]BRevExp!$I$171</definedName>
    <definedName name="HL_Alt_Chk_16" hidden="1">[1]BRevExp!$I$206</definedName>
    <definedName name="HL_Alt_Chk_17" hidden="1">[1]BmFS!$I$305</definedName>
    <definedName name="HL_Alt_Chk_18" hidden="1">[1]BFinTax!$I$269</definedName>
    <definedName name="HL_Alt_Chk_19" hidden="1">[1]Monthly!$I$327</definedName>
    <definedName name="HL_Alt_Chk_2" hidden="1">[1]BAssets!$I$54</definedName>
    <definedName name="HL_Alt_Chk_20" hidden="1">[1]BmFS!$I$882</definedName>
    <definedName name="HL_Alt_Chk_21" hidden="1">[1]ZRevExp!$I$72</definedName>
    <definedName name="HL_Alt_Chk_22" hidden="1">[1]ZRevExp!$I$145</definedName>
    <definedName name="HL_Alt_Chk_23" hidden="1">[1]ZRevExp!$I$193</definedName>
    <definedName name="HL_Alt_Chk_24" hidden="1">[1]ZRevExp!$I$218</definedName>
    <definedName name="HL_Alt_Chk_25" hidden="1">[1]ZRevExp!$I$243</definedName>
    <definedName name="HL_Alt_Chk_26" hidden="1">[1]ZBalances!$I$82</definedName>
    <definedName name="HL_Alt_Chk_27" hidden="1">[1]ZBalances!$I$148</definedName>
    <definedName name="HL_Alt_Chk_28" hidden="1">[1]ZBalances!$I$225</definedName>
    <definedName name="HL_Alt_Chk_29" hidden="1">[1]ZBalances!$I$285</definedName>
    <definedName name="HL_Alt_Chk_3" hidden="1">[1]BFinTax!$I$620</definedName>
    <definedName name="HL_Alt_Chk_30" hidden="1">[1]ZAssets!$I$33</definedName>
    <definedName name="HL_Alt_Chk_31" hidden="1">[1]ZAssets!$I$83</definedName>
    <definedName name="HL_Alt_Chk_32" hidden="1">[1]ZAssets!$I$102</definedName>
    <definedName name="HL_Alt_Chk_33" hidden="1">[1]ZAssets!$I$152</definedName>
    <definedName name="HL_Alt_Chk_34" hidden="1">[1]BFinTax!$I$217</definedName>
    <definedName name="HL_Alt_Chk_35" hidden="1">[1]ZFinTax!$I$226</definedName>
    <definedName name="HL_Alt_Chk_36" hidden="1">[1]ZFinTax!$I$159</definedName>
    <definedName name="HL_Alt_Chk_37" hidden="1">[1]ZFinTax!$I$502</definedName>
    <definedName name="HL_Alt_Chk_38" hidden="1">[1]ZmFS!$I$284</definedName>
    <definedName name="HL_Alt_Chk_39" hidden="1">[1]ZmFS!$I$836</definedName>
    <definedName name="HL_Alt_Chk_4" hidden="1">[1]BRevExp!$I$108</definedName>
    <definedName name="HL_Alt_Chk_40" hidden="1">[1]ZFinTax!$I$109</definedName>
    <definedName name="HL_Alt_Chk_41" hidden="1">[1]BaFS!$I$254</definedName>
    <definedName name="HL_Alt_Chk_42" hidden="1">[1]BFinTax!$I$119</definedName>
    <definedName name="HL_Alt_Chk_43" hidden="1">[1]BRevExp!$I$70</definedName>
    <definedName name="HL_Alt_Chk_44" hidden="1">[1]ZaFS!$I$235</definedName>
    <definedName name="HL_Alt_Chk_5" hidden="1">[1]BBalances!$I$108</definedName>
    <definedName name="HL_Alt_Chk_6" hidden="1">[1]BRevExp!$I$52</definedName>
    <definedName name="HL_Alt_Chk_7" hidden="1">[1]BBalances!$I$40</definedName>
    <definedName name="HL_Alt_Chk_8" hidden="1">[1]BAssets!$I$124</definedName>
    <definedName name="HL_Alt_Chk_9" hidden="1">[1]BAssets!$I$194</definedName>
    <definedName name="HL_Err_Chk_1" hidden="1">[1]BHist!$I$221</definedName>
    <definedName name="HL_Err_Chk_10" hidden="1">[1]BFinTax!$I$164</definedName>
    <definedName name="HL_Err_Chk_11" hidden="1">[1]BRevExp!$I$170</definedName>
    <definedName name="HL_Err_Chk_12" hidden="1">[1]BRevExp!$I$205</definedName>
    <definedName name="HL_Err_Chk_13" hidden="1">[1]BAssets!$I$189</definedName>
    <definedName name="HL_Err_Chk_14" hidden="1">[1]BAssets!$I$142</definedName>
    <definedName name="HL_Err_Chk_15" hidden="1">[1]BFinTax!$I$38</definedName>
    <definedName name="HL_Err_Chk_16" hidden="1">[1]BBalances!$I$165</definedName>
    <definedName name="HL_Err_Chk_17" hidden="1">[1]BBalances!$I$72</definedName>
    <definedName name="HL_Err_Chk_18" hidden="1">[1]BRevExp!$I$145</definedName>
    <definedName name="HL_Err_Chk_19" hidden="1">[1]BFinTax!$I$340</definedName>
    <definedName name="HL_Err_Chk_2" hidden="1">[1]BAssets!$I$53</definedName>
    <definedName name="HL_Err_Chk_20" hidden="1">[1]BBalances!$I$213</definedName>
    <definedName name="HL_Err_Chk_21" hidden="1">[1]BRevExp!$I$51</definedName>
    <definedName name="HL_Err_Chk_22" hidden="1">[1]BmFS!$I$121</definedName>
    <definedName name="HL_Err_Chk_23" hidden="1">[1]BmFS!$I$303</definedName>
    <definedName name="HL_Err_Chk_24" hidden="1">[1]BFinTax!$I$20</definedName>
    <definedName name="HL_Err_Chk_25" hidden="1">[1]BFinTax!$I$264</definedName>
    <definedName name="HL_Err_Chk_26" hidden="1">[1]ZaFS!$I$233</definedName>
    <definedName name="HL_Err_Chk_27" hidden="1">[1]BmFS!$I$622</definedName>
    <definedName name="HL_Err_Chk_28" hidden="1">[1]ZaFS!$I$427</definedName>
    <definedName name="HL_Err_Chk_29" hidden="1">[1]z5Yr!$D$293</definedName>
    <definedName name="HL_Err_Chk_3" hidden="1">[1]BHist!$I$96</definedName>
    <definedName name="HL_Err_Chk_36" hidden="1">[1]BBalances!$I$257</definedName>
    <definedName name="HL_Err_Chk_37" hidden="1">[1]BBalances!$I$343</definedName>
    <definedName name="HL_Err_Chk_38" hidden="1">[1]BBalances!$I$394</definedName>
    <definedName name="HL_Err_Chk_39" hidden="1">[1]BFinTax!$I$392</definedName>
    <definedName name="HL_Err_Chk_4" hidden="1">[1]BFinTax!$I$627</definedName>
    <definedName name="HL_Err_Chk_40" hidden="1">[1]Other!$I$44</definedName>
    <definedName name="HL_Err_Chk_41" hidden="1">[1]Ent_Sum!$H$24</definedName>
    <definedName name="HL_Err_Chk_42" hidden="1">[1]Monthly!$I$148</definedName>
    <definedName name="HL_Err_Chk_43" hidden="1">[1]Monthly!$I$325</definedName>
    <definedName name="HL_Err_Chk_44" hidden="1">[1]Monthly!$I$564</definedName>
    <definedName name="HL_Err_Chk_45" hidden="1">[1]BmFS!$I$745</definedName>
    <definedName name="HL_Err_Chk_46" hidden="1">[1]BmFS!$I$880</definedName>
    <definedName name="HL_Err_Chk_47" hidden="1">[1]BmFS!$I$1079</definedName>
    <definedName name="HL_Err_Chk_49" hidden="1">[1]ZHist!$I$101</definedName>
    <definedName name="HL_Err_Chk_5" hidden="1">[1]BRevExp!$I$107</definedName>
    <definedName name="HL_Err_Chk_50" hidden="1">[1]ZHist!$I$207</definedName>
    <definedName name="HL_Err_Chk_51" hidden="1">[1]ZRevExp!$I$71</definedName>
    <definedName name="HL_Err_Chk_52" hidden="1">[1]ZRevExp!$I$144</definedName>
    <definedName name="HL_Err_Chk_53" hidden="1">[1]ZRevExp!$I$192</definedName>
    <definedName name="HL_Err_Chk_54" hidden="1">[1]ZRevExp!$I$217</definedName>
    <definedName name="HL_Err_Chk_55" hidden="1">[1]ZRevExp!$I$242</definedName>
    <definedName name="HL_Err_Chk_56" hidden="1">[1]ZBalances!$I$78</definedName>
    <definedName name="HL_Err_Chk_57" hidden="1">[1]ZBalances!$I$144</definedName>
    <definedName name="HL_Err_Chk_58" hidden="1">[1]ZBalances!$I$221</definedName>
    <definedName name="HL_Err_Chk_59" hidden="1">[1]ZBalances!$I$281</definedName>
    <definedName name="HL_Err_Chk_6" hidden="1">[1]BBalances!$I$106</definedName>
    <definedName name="HL_Err_Chk_60" hidden="1">[1]ZAssets!$I$32</definedName>
    <definedName name="HL_Err_Chk_61" hidden="1">[1]ZAssets!$I$78</definedName>
    <definedName name="HL_Err_Chk_62" hidden="1">[1]ZAssets!$I$101</definedName>
    <definedName name="HL_Err_Chk_63" hidden="1">[1]ZAssets!$I$147</definedName>
    <definedName name="HL_Err_Chk_64" hidden="1">[1]ZFinTax!$I$20</definedName>
    <definedName name="HL_Err_Chk_65" hidden="1">[1]ZFinTax!$I$60</definedName>
    <definedName name="HL_Err_Chk_66" hidden="1">[1]BFinTax!$I$115</definedName>
    <definedName name="HL_Err_Chk_67" hidden="1">[1]ZFinTax!$I$222</definedName>
    <definedName name="HL_Err_Chk_68" hidden="1">[1]ZFinTax!$I$154</definedName>
    <definedName name="HL_Err_Chk_69" hidden="1">[1]ZFinTax!$I$509</definedName>
    <definedName name="HL_Err_Chk_7" hidden="1">[1]BFinTax!$I$62</definedName>
    <definedName name="HL_Err_Chk_70" hidden="1">[1]ZFinTax!$I$38</definedName>
    <definedName name="HL_Err_Chk_71" hidden="1">[1]ZBalances!$I$315</definedName>
    <definedName name="HL_Err_Chk_72" hidden="1">[1]ZBalances!$I$345</definedName>
    <definedName name="HL_Err_Chk_73" hidden="1">[1]ZBalances!$I$396</definedName>
    <definedName name="HL_Err_Chk_74" hidden="1">[1]ZBalances!$I$426</definedName>
    <definedName name="HL_Err_Chk_75" hidden="1">[1]ZFinTax!$I$274</definedName>
    <definedName name="HL_Err_Chk_76" hidden="1">[1]ZmFS!$I$121</definedName>
    <definedName name="HL_Err_Chk_77" hidden="1">[1]ZmFS!$I$282</definedName>
    <definedName name="HL_Err_Chk_78" hidden="1">[1]ZmFS!$I$597</definedName>
    <definedName name="HL_Err_Chk_79" hidden="1">[1]ZmFS!$I$720</definedName>
    <definedName name="HL_Err_Chk_8" hidden="1">[1]BBalances!$I$38</definedName>
    <definedName name="HL_Err_Chk_80" hidden="1">[1]ZmFS!$I$834</definedName>
    <definedName name="HL_Err_Chk_81" hidden="1">[1]ZmFS!$I$1028</definedName>
    <definedName name="HL_Err_Chk_83" hidden="1">[1]ZFinTax!$I$105</definedName>
    <definedName name="HL_Err_Chk_84" hidden="1">[1]ZVal!$I$48</definedName>
    <definedName name="HL_Err_Chk_85" hidden="1">[1]BFinTax!$I$213</definedName>
    <definedName name="HL_Err_Chk_87" hidden="1">[1]BaFS!$I$451</definedName>
    <definedName name="HL_Err_Chk_88" hidden="1">[1]BaFS!$I$252</definedName>
    <definedName name="HL_Err_Chk_89" hidden="1">[1]B5Yr!$D$277</definedName>
    <definedName name="HL_Err_Chk_9" hidden="1">[1]BAssets!$I$119</definedName>
    <definedName name="HL_Err_Chk_90" hidden="1">[1]BaFS!$I$126</definedName>
    <definedName name="HL_Err_Chk_91" hidden="1">[1]ZaFS!$I$126</definedName>
    <definedName name="HL_Err_Chk_92" hidden="1">[1]BRevExp!$I$69</definedName>
    <definedName name="HL_Sens_Chk_1" hidden="1">[1]Scenarios!$I$90</definedName>
    <definedName name="HL_Sens_Chk_2" hidden="1">[1]Scenarios!$I$118</definedName>
    <definedName name="HL_Sens_Chk_3" hidden="1">[1]Scenarios!$I$155</definedName>
    <definedName name="HL_Sens_Chk_4" hidden="1">[1]Scenarios!$I$42</definedName>
    <definedName name="HL_Sens_Chk_5" hidden="1">[1]Scenarios!$I$58</definedName>
    <definedName name="HL_Sens_Chk_6" hidden="1">[1]Scenarios!$I$74</definedName>
    <definedName name="HL_Sens_Chk_7" hidden="1">[1]Scenarios!$I$29</definedName>
    <definedName name="HL_Sheet_Main_17" hidden="1">#REF!</definedName>
    <definedName name="HL_Sheet_Main_18" hidden="1">[1]ZRev_subs!#REF!</definedName>
    <definedName name="HL_Sheet_Main_34" hidden="1">#REF!</definedName>
    <definedName name="HL_TOC_112" hidden="1">#REF!</definedName>
    <definedName name="HL_TOC_120" hidden="1">#REF!</definedName>
    <definedName name="HL_TOC_133" hidden="1">#REF!</definedName>
    <definedName name="HL_TOC_134" hidden="1">#REF!</definedName>
    <definedName name="HL_TOC_135" hidden="1">#REF!</definedName>
    <definedName name="HL_TOC_53" hidden="1">#REF!</definedName>
    <definedName name="HL_TOC_54" hidden="1">#REF!</definedName>
    <definedName name="INFO_BI_EXE_NAME" hidden="1">"BICORE.EXE"</definedName>
    <definedName name="INFO_EXE_SERVER_PATH" hidden="1">"C:\Sage300\BX64A\BICORE.EXE"</definedName>
    <definedName name="INFO_INSTANCE_ID" hidden="1">"0"</definedName>
    <definedName name="INFO_INSTANCE_NAME" hidden="1">"Zoleo Financials_20220412_08_41_45_4141.xls"</definedName>
    <definedName name="INFO_REPORT_CODE" hidden="1">"S300-SQL-AI29-1-3-CU"</definedName>
    <definedName name="INFO_REPORT_ID" hidden="1">"12"</definedName>
    <definedName name="INFO_REPORT_NAME" hidden="1">"Zoleo Financials"</definedName>
    <definedName name="INFO_RUN_USER" hidden="1">""</definedName>
    <definedName name="INFO_RUN_WORKSTATION" hidden="1">"ACCT008"</definedName>
    <definedName name="IQ_DNTM" hidden="1">700000</definedName>
    <definedName name="IQ_EXPENSE_CODE_" hidden="1">"test"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44779.2096527778</definedName>
    <definedName name="IQ_QTD" hidden="1">750000</definedName>
    <definedName name="IQ_TODAY" hidden="1">0</definedName>
    <definedName name="IQ_YTDMONTH" hidden="1">130000</definedName>
    <definedName name="MdoLsk" hidden="1">"18RLkZ1Xf75I5STGUptYIA2cKHfd177JKW8Algo7Q+48vB3S6yJQXdDt3GrXvbUO"</definedName>
    <definedName name="MdoStgs" hidden="1">"{940E67E9-66D9-4FA1-97F5-1F0B193AB605}"</definedName>
    <definedName name="MODMC20" hidden="1">#REF!</definedName>
    <definedName name="MODMC252" hidden="1">#REF!</definedName>
    <definedName name="MODMC253" hidden="1">#REF!</definedName>
    <definedName name="MODMC254" hidden="1">#REF!</definedName>
    <definedName name="MODMC255" hidden="1">#REF!</definedName>
    <definedName name="MODMC256" hidden="1">#REF!</definedName>
    <definedName name="MODMC257" hidden="1">#REF!</definedName>
    <definedName name="MODMC325" hidden="1">#REF!</definedName>
    <definedName name="MODMC329" hidden="1">#REF!</definedName>
    <definedName name="MODMC37" hidden="1">#REF!</definedName>
    <definedName name="MODMC40" hidden="1">#REF!</definedName>
    <definedName name="MODMC41" hidden="1">#REF!</definedName>
    <definedName name="MODMC42" hidden="1">#REF!</definedName>
    <definedName name="MODMC46" hidden="1">#REF!</definedName>
    <definedName name="MODMC52" hidden="1">#REF!</definedName>
    <definedName name="MODMC53" hidden="1">#REF!</definedName>
    <definedName name="MODMC54" hidden="1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encount" hidden="1">1</definedName>
    <definedName name="Sens_Chk_1_Hdg" hidden="1">[1]Scenarios!$B$89</definedName>
    <definedName name="Sens_Chk_2_Hdg" hidden="1">[1]Scenarios!$B$117</definedName>
    <definedName name="Sens_Chk_3_Hdg" hidden="1">[1]Scenarios!$B$154</definedName>
    <definedName name="Sens_Chk_4_Hdg" hidden="1">[1]Scenarios!$B$41</definedName>
    <definedName name="Sens_Chk_5_Hdg" hidden="1">[1]Scenarios!$B$57</definedName>
    <definedName name="Sens_Chk_6_Hdg" hidden="1">[1]Scenarios!$B$73</definedName>
    <definedName name="Sens_Chk_7_Hdg" hidden="1">[1]Scenarios!$B$27</definedName>
    <definedName name="SSSS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tef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V_AUTO_CONN_CATALOG" hidden="1">"ZOLUSA"</definedName>
    <definedName name="SV_AUTO_CONN_SERVER" hidden="1">"RPACCPAC3"</definedName>
    <definedName name="SV_ENCPT_AUTO_CONN_PASSWORD" hidden="1">"083096084083070071068068067068081075078"</definedName>
    <definedName name="SV_ENCPT_AUTO_CONN_USER" hidden="1">"095094088070084103100100099100113107110"</definedName>
    <definedName name="SV_ENCPT_LOGON_PWD" hidden="1">"078104085088070"</definedName>
    <definedName name="SV_ENCPT_LOGON_USER" hidden="1">"095094088070084090072074086084073080083"</definedName>
    <definedName name="TOC_Hdg_1" hidden="1">[1]Checks!$B$4</definedName>
    <definedName name="TOC_Hdg_10" hidden="1">[1]Scenarios!$B$57</definedName>
    <definedName name="TOC_Hdg_100" hidden="1">[1]ZmFS!$B$16</definedName>
    <definedName name="TOC_Hdg_101" hidden="1">[1]ZmFS!$B$188</definedName>
    <definedName name="TOC_Hdg_102" hidden="1">[1]ZmFS!$B$414</definedName>
    <definedName name="TOC_Hdg_103" hidden="1">[1]ZmFS!$B$599</definedName>
    <definedName name="TOC_Hdg_104" hidden="1">[1]ZmFS!$B$722</definedName>
    <definedName name="TOC_Hdg_105" hidden="1">[1]ZmFS!$B$838</definedName>
    <definedName name="TOC_Hdg_106" hidden="1">[1]ZFinTax!$B$62</definedName>
    <definedName name="TOC_Hdg_109" hidden="1">[1]ZRevExp!$B$74</definedName>
    <definedName name="TOC_Hdg_11" hidden="1">[1]Scenarios!$B$73</definedName>
    <definedName name="TOC_Hdg_110" hidden="1">[1]ZRevExp!$B$147</definedName>
    <definedName name="TOC_Hdg_112" hidden="1">#REF!</definedName>
    <definedName name="TOC_Hdg_115" hidden="1">[1]BRevExp!$B$16</definedName>
    <definedName name="TOC_Hdg_116" hidden="1">[1]BRevExp!$B$72</definedName>
    <definedName name="TOC_Hdg_117" hidden="1">[1]BRevExp!$B$110</definedName>
    <definedName name="TOC_Hdg_118" hidden="1">[1]BFinTax!$B$170</definedName>
    <definedName name="TOC_Hdg_12" hidden="1">[1]BBalances!$B$76</definedName>
    <definedName name="TOC_Hdg_120" hidden="1">#REF!</definedName>
    <definedName name="TOC_Hdg_121" hidden="1">[1]BaFS!$B$256</definedName>
    <definedName name="TOC_Hdg_122" hidden="1">[1]BaFS!$B$128</definedName>
    <definedName name="TOC_Hdg_124" hidden="1">[1]ZmFS!$B$123</definedName>
    <definedName name="TOC_Hdg_125" hidden="1">[1]ZmFS!$B$286</definedName>
    <definedName name="TOC_Hdg_126" hidden="1">[1]ZmFS!$B$323</definedName>
    <definedName name="TOC_Hdg_128" hidden="1">[1]Other!$B$46</definedName>
    <definedName name="TOC_Hdg_13" hidden="1">[1]BFinTax!$B$64</definedName>
    <definedName name="TOC_Hdg_130" hidden="1">[1]ZmFS!$B$353</definedName>
    <definedName name="TOC_Hdg_131" hidden="1">[1]BaFS!$B$11</definedName>
    <definedName name="TOC_Hdg_132" hidden="1">[1]ZaFS!$B$11</definedName>
    <definedName name="TOC_Hdg_133" hidden="1">#REF!</definedName>
    <definedName name="TOC_Hdg_134" hidden="1">#REF!</definedName>
    <definedName name="TOC_Hdg_135" hidden="1">#REF!</definedName>
    <definedName name="TOC_Hdg_136" hidden="1">[1]ZRev_subs!$B$373</definedName>
    <definedName name="TOC_Hdg_14" hidden="1">[1]BFinTax!$B$40</definedName>
    <definedName name="TOC_Hdg_15" hidden="1">[1]BBalances!$B$16</definedName>
    <definedName name="TOC_Hdg_16" hidden="1">[1]BRevExp!$B$54</definedName>
    <definedName name="TOC_Hdg_17" hidden="1">[1]BAssets!$B$56</definedName>
    <definedName name="TOC_Hdg_19" hidden="1">[1]BFinTax!$B$121</definedName>
    <definedName name="TOC_Hdg_2" hidden="1">[1]Checks!$B$96</definedName>
    <definedName name="TOC_Hdg_21" hidden="1">[1]BRevExp!$B$148</definedName>
    <definedName name="TOC_Hdg_22" hidden="1">[1]BAssets!$B$145</definedName>
    <definedName name="TOC_Hdg_24" hidden="1">[1]BAssets!$B$126</definedName>
    <definedName name="TOC_Hdg_25" hidden="1">[1]BFinTax!$B$22</definedName>
    <definedName name="TOC_Hdg_26" hidden="1">[1]BBalances!$B$110</definedName>
    <definedName name="TOC_Hdg_28" hidden="1">[1]BBalances!$B$42</definedName>
    <definedName name="TOC_Hdg_29" hidden="1">[1]Scenarios!$B$27</definedName>
    <definedName name="TOC_Hdg_3" hidden="1">[1]Checks!$B$112</definedName>
    <definedName name="TOC_Hdg_30" hidden="1">[1]BRevExp!$B$173</definedName>
    <definedName name="TOC_Hdg_31" hidden="1">[1]BFinTax!$B$271</definedName>
    <definedName name="TOC_Hdg_32" hidden="1">[1]BBalances!$B$171</definedName>
    <definedName name="TOC_Hdg_33" hidden="1">[1]BBalances!$B$215</definedName>
    <definedName name="TOC_Hdg_34" hidden="1">[1]BBalances!$B$259</definedName>
    <definedName name="TOC_Hdg_35" hidden="1">[1]BBalances!$B$345</definedName>
    <definedName name="TOC_Hdg_36" hidden="1">[1]Scenarios!$B$41</definedName>
    <definedName name="TOC_Hdg_37" hidden="1">[1]BFinTax!$B$364</definedName>
    <definedName name="TOC_Hdg_38" hidden="1">[1]Other!$B$16</definedName>
    <definedName name="TOC_Hdg_40" hidden="1">[1]BmFS!$B$16</definedName>
    <definedName name="TOC_Hdg_41" hidden="1">[1]BmFS!$B$188</definedName>
    <definedName name="TOC_Hdg_42" hidden="1">[1]BFinTax!$B$16</definedName>
    <definedName name="TOC_Hdg_43" hidden="1">[1]BFinTax!$B$219</definedName>
    <definedName name="TOC_Hdg_45" hidden="1">[1]ZaFS!$B$130</definedName>
    <definedName name="TOC_Hdg_46" hidden="1">[1]BmFS!$B$434</definedName>
    <definedName name="TOC_Hdg_47" hidden="1">[1]ZaFS!$B$237</definedName>
    <definedName name="TOC_Hdg_48" hidden="1">[1]BmFS!$B$123</definedName>
    <definedName name="TOC_Hdg_49" hidden="1">[1]BmFS!$B$307</definedName>
    <definedName name="TOC_Hdg_5" hidden="1">[1]BHist!$B$98</definedName>
    <definedName name="TOC_Hdg_50" hidden="1">[1]BmFS!$B$344</definedName>
    <definedName name="TOC_Hdg_51" hidden="1">[1]BmFS!$B$373</definedName>
    <definedName name="TOC_Hdg_53" hidden="1">#REF!</definedName>
    <definedName name="TOC_Hdg_54" hidden="1">#REF!</definedName>
    <definedName name="TOC_Hdg_6" hidden="1">[1]BAssets!$B$16</definedName>
    <definedName name="TOC_Hdg_61" hidden="1">[1]BmFS!$B$624</definedName>
    <definedName name="TOC_Hdg_62" hidden="1">[1]BmFS!$B$747</definedName>
    <definedName name="TOC_Hdg_63" hidden="1">[1]BmFS!$B$884</definedName>
    <definedName name="TOC_Hdg_64" hidden="1">[1]ZHist!$B$16</definedName>
    <definedName name="TOC_Hdg_65" hidden="1">[1]ZHist!$B$103</definedName>
    <definedName name="TOC_Hdg_66" hidden="1">[1]Scenarios!$B$89</definedName>
    <definedName name="TOC_Hdg_67" hidden="1">[1]Scenarios!$B$117</definedName>
    <definedName name="TOC_Hdg_68" hidden="1">[1]Scenarios!$B$154</definedName>
    <definedName name="TOC_Hdg_69" hidden="1">[1]ZRevExp!$B$195</definedName>
    <definedName name="TOC_Hdg_7" hidden="1">[1]BHist!$B$16</definedName>
    <definedName name="TOC_Hdg_70" hidden="1">[1]ZRevExp!$B$220</definedName>
    <definedName name="TOC_Hdg_71" hidden="1">[1]ZBalances!$B$16</definedName>
    <definedName name="TOC_Hdg_73" hidden="1">[1]ZBalances!$B$84</definedName>
    <definedName name="TOC_Hdg_75" hidden="1">[1]ZBalances!$B$150</definedName>
    <definedName name="TOC_Hdg_77" hidden="1">[1]ZBalances!$B$227</definedName>
    <definedName name="TOC_Hdg_79" hidden="1">[1]ZAssets!$B$16</definedName>
    <definedName name="TOC_Hdg_8" hidden="1">[1]BFinTax!$B$394</definedName>
    <definedName name="TOC_Hdg_80" hidden="1">[1]ZAssets!$B$35</definedName>
    <definedName name="TOC_Hdg_82" hidden="1">[1]ZAssets!$B$85</definedName>
    <definedName name="TOC_Hdg_83" hidden="1">[1]ZAssets!$B$104</definedName>
    <definedName name="TOC_Hdg_85" hidden="1">[1]ZFinTax!$B$16</definedName>
    <definedName name="TOC_Hdg_86" hidden="1">[1]ZFinTax!$B$40</definedName>
    <definedName name="TOC_Hdg_87" hidden="1">[1]ZRevExp!$B$16</definedName>
    <definedName name="TOC_Hdg_88" hidden="1">[1]Scenarios!$B$7</definedName>
    <definedName name="TOC_Hdg_89" hidden="1">[1]ZFinTax!$B$161</definedName>
    <definedName name="TOC_Hdg_90" hidden="1">[1]ZFinTax!$B$111</definedName>
    <definedName name="TOC_Hdg_92" hidden="1">[1]ZFinTax!$B$276</definedName>
    <definedName name="TOC_Hdg_94" hidden="1">[1]ZFinTax!$B$22</definedName>
    <definedName name="TOC_Hdg_95" hidden="1">[1]ZBalances!$B$287</definedName>
    <definedName name="TOC_Hdg_96" hidden="1">[1]ZBalances!$B$317</definedName>
    <definedName name="TOC_Hdg_97" hidden="1">[1]ZBalances!$B$347</definedName>
    <definedName name="TOC_Hdg_98" hidden="1">[1]ZBalances!$B$398</definedName>
    <definedName name="TOC_Hdg_99" hidden="1">[1]ZFinTax!$B$246</definedName>
    <definedName name="var_LastActiveConnectionID" hidden="1">"-1"</definedName>
    <definedName name="var_LastActiveConnectionUsesPVSAutoConnect" hidden="1">"False"</definedName>
    <definedName name="VerysmallNumber">#REF!</definedName>
    <definedName name="wrn.Full." hidden="1">{#N/A,#N/A,FALSE,"Cover";"outputs total",#N/A,FALSE,"Outputs"}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Summary." hidden="1">{#N/A,#N/A,FALSE,"Cover";#N/A,#N/A,FALSE,"Outputs";#N/A,#N/A,FALSE,"Control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wrn.Summary._.with._.short._.outputs.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2" i="13" l="1"/>
  <c r="H76" i="13"/>
  <c r="J49" i="13"/>
  <c r="H49" i="13"/>
  <c r="M48" i="13"/>
  <c r="I45" i="13"/>
  <c r="H45" i="13"/>
  <c r="N44" i="13"/>
  <c r="M44" i="13"/>
  <c r="K41" i="13"/>
  <c r="J41" i="13"/>
  <c r="H41" i="13"/>
  <c r="N40" i="13"/>
  <c r="M40" i="13"/>
  <c r="H37" i="13"/>
  <c r="H96" i="13" s="1"/>
  <c r="H97" i="13" s="1"/>
  <c r="N35" i="13"/>
  <c r="K34" i="13"/>
  <c r="J34" i="13"/>
  <c r="J45" i="13" s="1"/>
  <c r="I34" i="13"/>
  <c r="I49" i="13" s="1"/>
  <c r="I33" i="13"/>
  <c r="I37" i="13" s="1"/>
  <c r="F19" i="13"/>
  <c r="H82" i="12"/>
  <c r="H76" i="12"/>
  <c r="H49" i="12"/>
  <c r="M48" i="12"/>
  <c r="I45" i="12"/>
  <c r="H45" i="12"/>
  <c r="N44" i="12"/>
  <c r="M44" i="12"/>
  <c r="J41" i="12"/>
  <c r="I41" i="12"/>
  <c r="H41" i="12"/>
  <c r="N40" i="12"/>
  <c r="M40" i="12"/>
  <c r="H37" i="12"/>
  <c r="O35" i="12"/>
  <c r="P35" i="12" s="1"/>
  <c r="N35" i="12"/>
  <c r="N48" i="12" s="1"/>
  <c r="L34" i="12"/>
  <c r="I34" i="12"/>
  <c r="J34" i="12" s="1"/>
  <c r="K34" i="12" s="1"/>
  <c r="I33" i="12"/>
  <c r="I37" i="12" s="1"/>
  <c r="F19" i="12"/>
  <c r="H66" i="11"/>
  <c r="H60" i="11"/>
  <c r="H62" i="11" s="1"/>
  <c r="I35" i="11"/>
  <c r="H35" i="11"/>
  <c r="O34" i="11"/>
  <c r="N34" i="11"/>
  <c r="M34" i="11"/>
  <c r="H31" i="11"/>
  <c r="P29" i="11"/>
  <c r="O29" i="11"/>
  <c r="N29" i="11"/>
  <c r="I28" i="11"/>
  <c r="J28" i="11" s="1"/>
  <c r="I27" i="11"/>
  <c r="F19" i="11"/>
  <c r="K49" i="13" l="1"/>
  <c r="L34" i="13"/>
  <c r="N48" i="13"/>
  <c r="O35" i="13"/>
  <c r="K45" i="13"/>
  <c r="J33" i="13"/>
  <c r="I96" i="13"/>
  <c r="I97" i="13" s="1"/>
  <c r="I41" i="13"/>
  <c r="H78" i="13"/>
  <c r="P48" i="12"/>
  <c r="P44" i="12"/>
  <c r="Q35" i="12"/>
  <c r="P40" i="12"/>
  <c r="H78" i="12"/>
  <c r="I49" i="12"/>
  <c r="L49" i="12"/>
  <c r="L45" i="12"/>
  <c r="L41" i="12"/>
  <c r="O48" i="12"/>
  <c r="O44" i="12"/>
  <c r="O40" i="12"/>
  <c r="I96" i="12"/>
  <c r="I97" i="12" s="1"/>
  <c r="J33" i="12"/>
  <c r="J45" i="12"/>
  <c r="J49" i="12"/>
  <c r="M34" i="12"/>
  <c r="K41" i="12"/>
  <c r="K49" i="12"/>
  <c r="K45" i="12"/>
  <c r="H96" i="12"/>
  <c r="H97" i="12" s="1"/>
  <c r="I31" i="11"/>
  <c r="J27" i="11"/>
  <c r="K28" i="11"/>
  <c r="J35" i="11"/>
  <c r="P34" i="11"/>
  <c r="Q29" i="11"/>
  <c r="H80" i="11"/>
  <c r="H81" i="11" s="1"/>
  <c r="J37" i="13" l="1"/>
  <c r="K33" i="13"/>
  <c r="O40" i="13"/>
  <c r="P35" i="13"/>
  <c r="O48" i="13"/>
  <c r="O44" i="13"/>
  <c r="L41" i="13"/>
  <c r="L45" i="13"/>
  <c r="L49" i="13"/>
  <c r="M34" i="13"/>
  <c r="M49" i="12"/>
  <c r="M50" i="12" s="1"/>
  <c r="M45" i="12"/>
  <c r="M46" i="12" s="1"/>
  <c r="N34" i="12"/>
  <c r="M41" i="12"/>
  <c r="M42" i="12" s="1"/>
  <c r="J37" i="12"/>
  <c r="K33" i="12"/>
  <c r="Q48" i="12"/>
  <c r="Q44" i="12"/>
  <c r="Q40" i="12"/>
  <c r="R35" i="12"/>
  <c r="Q34" i="11"/>
  <c r="R29" i="11"/>
  <c r="L28" i="11"/>
  <c r="K35" i="11"/>
  <c r="J31" i="11"/>
  <c r="K27" i="11"/>
  <c r="I80" i="11"/>
  <c r="I81" i="11" s="1"/>
  <c r="L33" i="13" l="1"/>
  <c r="L37" i="13" s="1"/>
  <c r="K37" i="13"/>
  <c r="P40" i="13"/>
  <c r="P44" i="13"/>
  <c r="Q35" i="13"/>
  <c r="P48" i="13"/>
  <c r="M41" i="13"/>
  <c r="M42" i="13" s="1"/>
  <c r="M45" i="13"/>
  <c r="M46" i="13" s="1"/>
  <c r="M49" i="13"/>
  <c r="M50" i="13" s="1"/>
  <c r="N34" i="13"/>
  <c r="J96" i="13"/>
  <c r="J97" i="13" s="1"/>
  <c r="M52" i="12"/>
  <c r="N49" i="12"/>
  <c r="N50" i="12" s="1"/>
  <c r="N45" i="12"/>
  <c r="N46" i="12" s="1"/>
  <c r="N41" i="12"/>
  <c r="N42" i="12" s="1"/>
  <c r="N52" i="12" s="1"/>
  <c r="O34" i="12"/>
  <c r="K37" i="12"/>
  <c r="L33" i="12"/>
  <c r="L37" i="12" s="1"/>
  <c r="J96" i="12"/>
  <c r="J97" i="12" s="1"/>
  <c r="R40" i="12"/>
  <c r="R48" i="12"/>
  <c r="R44" i="12"/>
  <c r="S35" i="12"/>
  <c r="R34" i="11"/>
  <c r="S29" i="11"/>
  <c r="J80" i="11"/>
  <c r="J81" i="11" s="1"/>
  <c r="M28" i="11"/>
  <c r="L35" i="11"/>
  <c r="K31" i="11"/>
  <c r="L27" i="11"/>
  <c r="L31" i="11" s="1"/>
  <c r="M52" i="13" l="1"/>
  <c r="Q40" i="13"/>
  <c r="Q44" i="13"/>
  <c r="Q48" i="13"/>
  <c r="R35" i="13"/>
  <c r="K96" i="13"/>
  <c r="K97" i="13" s="1"/>
  <c r="N41" i="13"/>
  <c r="N42" i="13" s="1"/>
  <c r="N45" i="13"/>
  <c r="N46" i="13" s="1"/>
  <c r="N49" i="13"/>
  <c r="N50" i="13" s="1"/>
  <c r="O34" i="13"/>
  <c r="L96" i="13"/>
  <c r="L97" i="13" s="1"/>
  <c r="L96" i="12"/>
  <c r="L97" i="12" s="1"/>
  <c r="O49" i="12"/>
  <c r="O50" i="12" s="1"/>
  <c r="O45" i="12"/>
  <c r="O46" i="12" s="1"/>
  <c r="O41" i="12"/>
  <c r="O42" i="12" s="1"/>
  <c r="O52" i="12" s="1"/>
  <c r="P34" i="12"/>
  <c r="S48" i="12"/>
  <c r="S44" i="12"/>
  <c r="S40" i="12"/>
  <c r="T35" i="12"/>
  <c r="K96" i="12"/>
  <c r="K97" i="12" s="1"/>
  <c r="N94" i="12"/>
  <c r="N53" i="12"/>
  <c r="N95" i="12" s="1"/>
  <c r="N54" i="12"/>
  <c r="M94" i="12"/>
  <c r="M53" i="12"/>
  <c r="M95" i="12" s="1"/>
  <c r="L80" i="11"/>
  <c r="L81" i="11" s="1"/>
  <c r="M35" i="11"/>
  <c r="M36" i="11" s="1"/>
  <c r="N28" i="11"/>
  <c r="K80" i="11"/>
  <c r="K81" i="11" s="1"/>
  <c r="S34" i="11"/>
  <c r="T29" i="11"/>
  <c r="R40" i="13" l="1"/>
  <c r="R44" i="13"/>
  <c r="R48" i="13"/>
  <c r="S35" i="13"/>
  <c r="N52" i="13"/>
  <c r="O41" i="13"/>
  <c r="O42" i="13" s="1"/>
  <c r="O45" i="13"/>
  <c r="O46" i="13" s="1"/>
  <c r="O49" i="13"/>
  <c r="O50" i="13" s="1"/>
  <c r="P34" i="13"/>
  <c r="M53" i="13"/>
  <c r="M95" i="13" s="1"/>
  <c r="M94" i="13"/>
  <c r="M97" i="13" s="1"/>
  <c r="M54" i="13"/>
  <c r="M97" i="12"/>
  <c r="O53" i="12"/>
  <c r="O95" i="12" s="1"/>
  <c r="O94" i="12"/>
  <c r="O97" i="12" s="1"/>
  <c r="U35" i="12"/>
  <c r="T48" i="12"/>
  <c r="T40" i="12"/>
  <c r="T44" i="12"/>
  <c r="N97" i="12"/>
  <c r="N58" i="12"/>
  <c r="M54" i="12"/>
  <c r="P49" i="12"/>
  <c r="P50" i="12" s="1"/>
  <c r="P45" i="12"/>
  <c r="P46" i="12" s="1"/>
  <c r="P41" i="12"/>
  <c r="P42" i="12" s="1"/>
  <c r="Q34" i="12"/>
  <c r="N35" i="11"/>
  <c r="N36" i="11" s="1"/>
  <c r="O28" i="11"/>
  <c r="M78" i="11"/>
  <c r="M37" i="11"/>
  <c r="M79" i="11" s="1"/>
  <c r="T34" i="11"/>
  <c r="U29" i="11"/>
  <c r="M58" i="13" l="1"/>
  <c r="O52" i="13"/>
  <c r="N53" i="13"/>
  <c r="N95" i="13" s="1"/>
  <c r="N94" i="13"/>
  <c r="N97" i="13" s="1"/>
  <c r="N54" i="13"/>
  <c r="S44" i="13"/>
  <c r="S48" i="13"/>
  <c r="T35" i="13"/>
  <c r="S40" i="13"/>
  <c r="P45" i="13"/>
  <c r="P46" i="13" s="1"/>
  <c r="P49" i="13"/>
  <c r="P50" i="13" s="1"/>
  <c r="Q34" i="13"/>
  <c r="P41" i="13"/>
  <c r="P42" i="13" s="1"/>
  <c r="P52" i="12"/>
  <c r="O54" i="12"/>
  <c r="M58" i="12"/>
  <c r="V35" i="12"/>
  <c r="U48" i="12"/>
  <c r="U40" i="12"/>
  <c r="U44" i="12"/>
  <c r="R34" i="12"/>
  <c r="Q49" i="12"/>
  <c r="Q50" i="12" s="1"/>
  <c r="Q45" i="12"/>
  <c r="Q46" i="12" s="1"/>
  <c r="Q41" i="12"/>
  <c r="Q42" i="12" s="1"/>
  <c r="M38" i="11"/>
  <c r="M81" i="11"/>
  <c r="O35" i="11"/>
  <c r="O36" i="11" s="1"/>
  <c r="P28" i="11"/>
  <c r="N78" i="11"/>
  <c r="N37" i="11"/>
  <c r="N79" i="11" s="1"/>
  <c r="N38" i="11"/>
  <c r="V29" i="11"/>
  <c r="U34" i="11"/>
  <c r="Q49" i="13" l="1"/>
  <c r="Q50" i="13" s="1"/>
  <c r="R34" i="13"/>
  <c r="Q41" i="13"/>
  <c r="Q42" i="13" s="1"/>
  <c r="Q45" i="13"/>
  <c r="Q46" i="13" s="1"/>
  <c r="N58" i="13"/>
  <c r="O94" i="13"/>
  <c r="O53" i="13"/>
  <c r="O95" i="13" s="1"/>
  <c r="P52" i="13"/>
  <c r="T48" i="13"/>
  <c r="U35" i="13"/>
  <c r="T40" i="13"/>
  <c r="T44" i="13"/>
  <c r="Q52" i="12"/>
  <c r="S34" i="12"/>
  <c r="R45" i="12"/>
  <c r="R46" i="12" s="1"/>
  <c r="R41" i="12"/>
  <c r="R42" i="12" s="1"/>
  <c r="R52" i="12" s="1"/>
  <c r="R49" i="12"/>
  <c r="R50" i="12" s="1"/>
  <c r="O58" i="12"/>
  <c r="V40" i="12"/>
  <c r="V48" i="12"/>
  <c r="V44" i="12"/>
  <c r="W35" i="12"/>
  <c r="P94" i="12"/>
  <c r="P53" i="12"/>
  <c r="P95" i="12" s="1"/>
  <c r="N42" i="11"/>
  <c r="W29" i="11"/>
  <c r="V34" i="11"/>
  <c r="N81" i="11"/>
  <c r="P35" i="11"/>
  <c r="P36" i="11" s="1"/>
  <c r="Q28" i="11"/>
  <c r="O37" i="11"/>
  <c r="O79" i="11" s="1"/>
  <c r="O78" i="11"/>
  <c r="M42" i="11"/>
  <c r="P54" i="13" l="1"/>
  <c r="P94" i="13"/>
  <c r="P97" i="13" s="1"/>
  <c r="P53" i="13"/>
  <c r="P95" i="13" s="1"/>
  <c r="U44" i="13"/>
  <c r="U48" i="13"/>
  <c r="U40" i="13"/>
  <c r="V35" i="13"/>
  <c r="O97" i="13"/>
  <c r="Q52" i="13"/>
  <c r="R45" i="13"/>
  <c r="R46" i="13" s="1"/>
  <c r="S34" i="13"/>
  <c r="R49" i="13"/>
  <c r="R50" i="13" s="1"/>
  <c r="R41" i="13"/>
  <c r="R42" i="13" s="1"/>
  <c r="R52" i="13" s="1"/>
  <c r="O54" i="13"/>
  <c r="R94" i="12"/>
  <c r="R53" i="12"/>
  <c r="R95" i="12" s="1"/>
  <c r="R54" i="12"/>
  <c r="W48" i="12"/>
  <c r="W44" i="12"/>
  <c r="W40" i="12"/>
  <c r="X35" i="12"/>
  <c r="P54" i="12"/>
  <c r="P97" i="12"/>
  <c r="S49" i="12"/>
  <c r="S50" i="12" s="1"/>
  <c r="S45" i="12"/>
  <c r="S46" i="12" s="1"/>
  <c r="S41" i="12"/>
  <c r="S42" i="12" s="1"/>
  <c r="S52" i="12" s="1"/>
  <c r="T34" i="12"/>
  <c r="Q53" i="12"/>
  <c r="Q95" i="12" s="1"/>
  <c r="Q94" i="12"/>
  <c r="Q54" i="12"/>
  <c r="Q35" i="11"/>
  <c r="Q36" i="11" s="1"/>
  <c r="R28" i="11"/>
  <c r="P78" i="11"/>
  <c r="P37" i="11"/>
  <c r="P79" i="11" s="1"/>
  <c r="X29" i="11"/>
  <c r="W34" i="11"/>
  <c r="O81" i="11"/>
  <c r="O38" i="11"/>
  <c r="V48" i="13" l="1"/>
  <c r="W35" i="13"/>
  <c r="V40" i="13"/>
  <c r="V44" i="13"/>
  <c r="Q94" i="13"/>
  <c r="Q53" i="13"/>
  <c r="Q95" i="13" s="1"/>
  <c r="R94" i="13"/>
  <c r="R97" i="13" s="1"/>
  <c r="R53" i="13"/>
  <c r="R95" i="13" s="1"/>
  <c r="R54" i="13"/>
  <c r="P58" i="13"/>
  <c r="O58" i="13"/>
  <c r="S49" i="13"/>
  <c r="S50" i="13" s="1"/>
  <c r="T34" i="13"/>
  <c r="S41" i="13"/>
  <c r="S42" i="13" s="1"/>
  <c r="S52" i="13" s="1"/>
  <c r="S45" i="13"/>
  <c r="S46" i="13" s="1"/>
  <c r="S54" i="12"/>
  <c r="S94" i="12"/>
  <c r="S53" i="12"/>
  <c r="S95" i="12" s="1"/>
  <c r="X48" i="12"/>
  <c r="X44" i="12"/>
  <c r="Y35" i="12"/>
  <c r="X40" i="12"/>
  <c r="T49" i="12"/>
  <c r="T50" i="12" s="1"/>
  <c r="T45" i="12"/>
  <c r="T46" i="12" s="1"/>
  <c r="T41" i="12"/>
  <c r="T42" i="12" s="1"/>
  <c r="U34" i="12"/>
  <c r="Q58" i="12"/>
  <c r="R58" i="12"/>
  <c r="Q97" i="12"/>
  <c r="R97" i="12"/>
  <c r="P58" i="12"/>
  <c r="P38" i="11"/>
  <c r="P81" i="11"/>
  <c r="S28" i="11"/>
  <c r="R35" i="11"/>
  <c r="R36" i="11" s="1"/>
  <c r="Q78" i="11"/>
  <c r="Q37" i="11"/>
  <c r="Q79" i="11" s="1"/>
  <c r="O42" i="11"/>
  <c r="X34" i="11"/>
  <c r="Y29" i="11"/>
  <c r="Q54" i="13" l="1"/>
  <c r="T41" i="13"/>
  <c r="T42" i="13" s="1"/>
  <c r="T52" i="13" s="1"/>
  <c r="U34" i="13"/>
  <c r="T49" i="13"/>
  <c r="T50" i="13" s="1"/>
  <c r="T45" i="13"/>
  <c r="T46" i="13" s="1"/>
  <c r="Q97" i="13"/>
  <c r="S94" i="13"/>
  <c r="S53" i="13"/>
  <c r="S95" i="13" s="1"/>
  <c r="R58" i="13"/>
  <c r="W40" i="13"/>
  <c r="W44" i="13"/>
  <c r="X35" i="13"/>
  <c r="W48" i="13"/>
  <c r="Y48" i="12"/>
  <c r="Y44" i="12"/>
  <c r="Y40" i="12"/>
  <c r="Z35" i="12"/>
  <c r="U49" i="12"/>
  <c r="U50" i="12" s="1"/>
  <c r="U45" i="12"/>
  <c r="U46" i="12" s="1"/>
  <c r="V34" i="12"/>
  <c r="U41" i="12"/>
  <c r="U42" i="12" s="1"/>
  <c r="T52" i="12"/>
  <c r="S97" i="12"/>
  <c r="S58" i="12"/>
  <c r="Q38" i="11"/>
  <c r="Y34" i="11"/>
  <c r="Z29" i="11"/>
  <c r="Q81" i="11"/>
  <c r="R37" i="11"/>
  <c r="R79" i="11" s="1"/>
  <c r="R38" i="11"/>
  <c r="R78" i="11"/>
  <c r="T28" i="11"/>
  <c r="S35" i="11"/>
  <c r="S36" i="11" s="1"/>
  <c r="P42" i="11"/>
  <c r="U41" i="13" l="1"/>
  <c r="U42" i="13" s="1"/>
  <c r="U45" i="13"/>
  <c r="U46" i="13" s="1"/>
  <c r="U49" i="13"/>
  <c r="U50" i="13" s="1"/>
  <c r="V34" i="13"/>
  <c r="S54" i="13"/>
  <c r="T54" i="13"/>
  <c r="T94" i="13"/>
  <c r="T97" i="13" s="1"/>
  <c r="T53" i="13"/>
  <c r="T95" i="13" s="1"/>
  <c r="S97" i="13"/>
  <c r="X40" i="13"/>
  <c r="X44" i="13"/>
  <c r="Y35" i="13"/>
  <c r="X48" i="13"/>
  <c r="Q58" i="13"/>
  <c r="V49" i="12"/>
  <c r="V50" i="12" s="1"/>
  <c r="V45" i="12"/>
  <c r="V46" i="12" s="1"/>
  <c r="V41" i="12"/>
  <c r="V42" i="12" s="1"/>
  <c r="W34" i="12"/>
  <c r="Z48" i="12"/>
  <c r="Z44" i="12"/>
  <c r="Z40" i="12"/>
  <c r="AA35" i="12"/>
  <c r="T94" i="12"/>
  <c r="T53" i="12"/>
  <c r="T95" i="12" s="1"/>
  <c r="U52" i="12"/>
  <c r="R42" i="11"/>
  <c r="S38" i="11"/>
  <c r="S78" i="11"/>
  <c r="S81" i="11" s="1"/>
  <c r="S37" i="11"/>
  <c r="S79" i="11" s="1"/>
  <c r="Z34" i="11"/>
  <c r="AA29" i="11"/>
  <c r="T35" i="11"/>
  <c r="T36" i="11" s="1"/>
  <c r="U28" i="11"/>
  <c r="R81" i="11"/>
  <c r="Q42" i="11"/>
  <c r="S58" i="13" l="1"/>
  <c r="Y40" i="13"/>
  <c r="Y44" i="13"/>
  <c r="Y48" i="13"/>
  <c r="Z35" i="13"/>
  <c r="T58" i="13"/>
  <c r="V41" i="13"/>
  <c r="V42" i="13" s="1"/>
  <c r="V52" i="13" s="1"/>
  <c r="V45" i="13"/>
  <c r="V46" i="13" s="1"/>
  <c r="V49" i="13"/>
  <c r="V50" i="13" s="1"/>
  <c r="W34" i="13"/>
  <c r="U52" i="13"/>
  <c r="AA48" i="12"/>
  <c r="AA44" i="12"/>
  <c r="AA40" i="12"/>
  <c r="AB35" i="12"/>
  <c r="U94" i="12"/>
  <c r="U53" i="12"/>
  <c r="U95" i="12" s="1"/>
  <c r="T54" i="12"/>
  <c r="T97" i="12"/>
  <c r="W49" i="12"/>
  <c r="W50" i="12" s="1"/>
  <c r="W45" i="12"/>
  <c r="W46" i="12" s="1"/>
  <c r="W41" i="12"/>
  <c r="W42" i="12" s="1"/>
  <c r="W52" i="12" s="1"/>
  <c r="X34" i="12"/>
  <c r="V52" i="12"/>
  <c r="AA34" i="11"/>
  <c r="AB29" i="11"/>
  <c r="S42" i="11"/>
  <c r="U35" i="11"/>
  <c r="U36" i="11" s="1"/>
  <c r="V28" i="11"/>
  <c r="T78" i="11"/>
  <c r="T37" i="11"/>
  <c r="T79" i="11" s="1"/>
  <c r="U53" i="13" l="1"/>
  <c r="U95" i="13" s="1"/>
  <c r="U94" i="13"/>
  <c r="U97" i="13" s="1"/>
  <c r="U54" i="13"/>
  <c r="W41" i="13"/>
  <c r="W42" i="13" s="1"/>
  <c r="W45" i="13"/>
  <c r="W46" i="13" s="1"/>
  <c r="W49" i="13"/>
  <c r="W50" i="13" s="1"/>
  <c r="X34" i="13"/>
  <c r="Z40" i="13"/>
  <c r="Z44" i="13"/>
  <c r="Z48" i="13"/>
  <c r="AA35" i="13"/>
  <c r="V53" i="13"/>
  <c r="V95" i="13" s="1"/>
  <c r="V94" i="13"/>
  <c r="V97" i="13" s="1"/>
  <c r="V54" i="13"/>
  <c r="T58" i="12"/>
  <c r="U54" i="12"/>
  <c r="V94" i="12"/>
  <c r="V53" i="12"/>
  <c r="V95" i="12" s="1"/>
  <c r="V54" i="12"/>
  <c r="X49" i="12"/>
  <c r="X50" i="12" s="1"/>
  <c r="X45" i="12"/>
  <c r="X46" i="12" s="1"/>
  <c r="X41" i="12"/>
  <c r="X42" i="12" s="1"/>
  <c r="Y34" i="12"/>
  <c r="U97" i="12"/>
  <c r="W94" i="12"/>
  <c r="W53" i="12"/>
  <c r="W95" i="12" s="1"/>
  <c r="AC35" i="12"/>
  <c r="AB44" i="12"/>
  <c r="AB48" i="12"/>
  <c r="AB40" i="12"/>
  <c r="T81" i="11"/>
  <c r="AB34" i="11"/>
  <c r="AC29" i="11"/>
  <c r="T38" i="11"/>
  <c r="V35" i="11"/>
  <c r="V36" i="11" s="1"/>
  <c r="W28" i="11"/>
  <c r="U78" i="11"/>
  <c r="U81" i="11" s="1"/>
  <c r="U37" i="11"/>
  <c r="U79" i="11" s="1"/>
  <c r="U38" i="11"/>
  <c r="V58" i="13" l="1"/>
  <c r="X45" i="13"/>
  <c r="X46" i="13" s="1"/>
  <c r="X49" i="13"/>
  <c r="X50" i="13" s="1"/>
  <c r="Y34" i="13"/>
  <c r="X41" i="13"/>
  <c r="X42" i="13" s="1"/>
  <c r="W52" i="13"/>
  <c r="AA44" i="13"/>
  <c r="AA48" i="13"/>
  <c r="AB35" i="13"/>
  <c r="AA40" i="13"/>
  <c r="U58" i="13"/>
  <c r="W97" i="12"/>
  <c r="W54" i="12"/>
  <c r="AD35" i="12"/>
  <c r="AC40" i="12"/>
  <c r="AC48" i="12"/>
  <c r="AC44" i="12"/>
  <c r="V97" i="12"/>
  <c r="V58" i="12"/>
  <c r="U58" i="12"/>
  <c r="Z34" i="12"/>
  <c r="Y45" i="12"/>
  <c r="Y46" i="12" s="1"/>
  <c r="Y41" i="12"/>
  <c r="Y42" i="12" s="1"/>
  <c r="Y52" i="12" s="1"/>
  <c r="Y49" i="12"/>
  <c r="Y50" i="12" s="1"/>
  <c r="X52" i="12"/>
  <c r="W35" i="11"/>
  <c r="W36" i="11" s="1"/>
  <c r="X28" i="11"/>
  <c r="U42" i="11"/>
  <c r="V78" i="11"/>
  <c r="V37" i="11"/>
  <c r="V79" i="11" s="1"/>
  <c r="T42" i="11"/>
  <c r="AD29" i="11"/>
  <c r="AC34" i="11"/>
  <c r="X52" i="13" l="1"/>
  <c r="Y49" i="13"/>
  <c r="Y50" i="13" s="1"/>
  <c r="Z34" i="13"/>
  <c r="Y41" i="13"/>
  <c r="Y42" i="13" s="1"/>
  <c r="Y52" i="13" s="1"/>
  <c r="Y45" i="13"/>
  <c r="Y46" i="13" s="1"/>
  <c r="AB48" i="13"/>
  <c r="AC35" i="13"/>
  <c r="AB40" i="13"/>
  <c r="AB44" i="13"/>
  <c r="W94" i="13"/>
  <c r="W53" i="13"/>
  <c r="W95" i="13" s="1"/>
  <c r="AA34" i="12"/>
  <c r="Z41" i="12"/>
  <c r="Z42" i="12" s="1"/>
  <c r="Z45" i="12"/>
  <c r="Z46" i="12" s="1"/>
  <c r="Z49" i="12"/>
  <c r="Z50" i="12" s="1"/>
  <c r="X94" i="12"/>
  <c r="X53" i="12"/>
  <c r="X95" i="12" s="1"/>
  <c r="W58" i="12"/>
  <c r="Y94" i="12"/>
  <c r="Y53" i="12"/>
  <c r="Y95" i="12" s="1"/>
  <c r="Y54" i="12"/>
  <c r="AD48" i="12"/>
  <c r="AD44" i="12"/>
  <c r="AD40" i="12"/>
  <c r="AE35" i="12"/>
  <c r="V81" i="11"/>
  <c r="AE29" i="11"/>
  <c r="AD34" i="11"/>
  <c r="X35" i="11"/>
  <c r="X36" i="11" s="1"/>
  <c r="Y28" i="11"/>
  <c r="V38" i="11"/>
  <c r="W37" i="11"/>
  <c r="W79" i="11" s="1"/>
  <c r="W38" i="11"/>
  <c r="W78" i="11"/>
  <c r="W81" i="11" s="1"/>
  <c r="AC44" i="13" l="1"/>
  <c r="AC48" i="13"/>
  <c r="AC40" i="13"/>
  <c r="AD35" i="13"/>
  <c r="Y94" i="13"/>
  <c r="Y53" i="13"/>
  <c r="Y95" i="13" s="1"/>
  <c r="Y54" i="13"/>
  <c r="W97" i="13"/>
  <c r="Z45" i="13"/>
  <c r="Z46" i="13" s="1"/>
  <c r="Z49" i="13"/>
  <c r="Z50" i="13" s="1"/>
  <c r="AA34" i="13"/>
  <c r="Z41" i="13"/>
  <c r="Z42" i="13" s="1"/>
  <c r="Z52" i="13" s="1"/>
  <c r="W54" i="13"/>
  <c r="X94" i="13"/>
  <c r="X53" i="13"/>
  <c r="X95" i="13" s="1"/>
  <c r="AA49" i="12"/>
  <c r="AA50" i="12" s="1"/>
  <c r="AA45" i="12"/>
  <c r="AA46" i="12" s="1"/>
  <c r="AA41" i="12"/>
  <c r="AA42" i="12" s="1"/>
  <c r="AA52" i="12" s="1"/>
  <c r="AB34" i="12"/>
  <c r="X97" i="12"/>
  <c r="X54" i="12"/>
  <c r="Y58" i="12"/>
  <c r="AE48" i="12"/>
  <c r="AE44" i="12"/>
  <c r="AE40" i="12"/>
  <c r="AF35" i="12"/>
  <c r="Y97" i="12"/>
  <c r="Z52" i="12"/>
  <c r="V42" i="11"/>
  <c r="Y35" i="11"/>
  <c r="Y36" i="11" s="1"/>
  <c r="Z28" i="11"/>
  <c r="X78" i="11"/>
  <c r="X37" i="11"/>
  <c r="X79" i="11" s="1"/>
  <c r="AE34" i="11"/>
  <c r="AF29" i="11"/>
  <c r="W42" i="11"/>
  <c r="Y58" i="13" l="1"/>
  <c r="W58" i="13"/>
  <c r="Z94" i="13"/>
  <c r="Z53" i="13"/>
  <c r="Z95" i="13" s="1"/>
  <c r="X97" i="13"/>
  <c r="X54" i="13"/>
  <c r="Y97" i="13"/>
  <c r="AD48" i="13"/>
  <c r="AE35" i="13"/>
  <c r="AD44" i="13"/>
  <c r="AD40" i="13"/>
  <c r="AA49" i="13"/>
  <c r="AA50" i="13" s="1"/>
  <c r="AB34" i="13"/>
  <c r="AA41" i="13"/>
  <c r="AA42" i="13" s="1"/>
  <c r="AA45" i="13"/>
  <c r="AA46" i="13" s="1"/>
  <c r="Z94" i="12"/>
  <c r="Z53" i="12"/>
  <c r="Z95" i="12" s="1"/>
  <c r="Z54" i="12"/>
  <c r="X58" i="12"/>
  <c r="AF48" i="12"/>
  <c r="AF44" i="12"/>
  <c r="AG35" i="12"/>
  <c r="AF40" i="12"/>
  <c r="AB49" i="12"/>
  <c r="AB50" i="12" s="1"/>
  <c r="AB45" i="12"/>
  <c r="AB46" i="12" s="1"/>
  <c r="AB41" i="12"/>
  <c r="AB42" i="12" s="1"/>
  <c r="AC34" i="12"/>
  <c r="AA53" i="12"/>
  <c r="AA95" i="12" s="1"/>
  <c r="AA94" i="12"/>
  <c r="AA97" i="12" s="1"/>
  <c r="AA28" i="11"/>
  <c r="Z35" i="11"/>
  <c r="Z36" i="11" s="1"/>
  <c r="X38" i="11"/>
  <c r="X81" i="11"/>
  <c r="AF34" i="11"/>
  <c r="AG29" i="11"/>
  <c r="Y78" i="11"/>
  <c r="Y81" i="11" s="1"/>
  <c r="Y37" i="11"/>
  <c r="Y79" i="11" s="1"/>
  <c r="Y38" i="11"/>
  <c r="Z97" i="13" l="1"/>
  <c r="X58" i="13"/>
  <c r="AA52" i="13"/>
  <c r="AE40" i="13"/>
  <c r="AE44" i="13"/>
  <c r="AF35" i="13"/>
  <c r="AE48" i="13"/>
  <c r="AB41" i="13"/>
  <c r="AB42" i="13" s="1"/>
  <c r="AB45" i="13"/>
  <c r="AB46" i="13" s="1"/>
  <c r="AB49" i="13"/>
  <c r="AB50" i="13" s="1"/>
  <c r="AC34" i="13"/>
  <c r="Z54" i="13"/>
  <c r="Z58" i="12"/>
  <c r="AG48" i="12"/>
  <c r="AG44" i="12"/>
  <c r="AG40" i="12"/>
  <c r="AH35" i="12"/>
  <c r="Z97" i="12"/>
  <c r="AA54" i="12"/>
  <c r="AC49" i="12"/>
  <c r="AC50" i="12" s="1"/>
  <c r="AC45" i="12"/>
  <c r="AC46" i="12" s="1"/>
  <c r="AC41" i="12"/>
  <c r="AC42" i="12" s="1"/>
  <c r="AC52" i="12" s="1"/>
  <c r="AD34" i="12"/>
  <c r="AB52" i="12"/>
  <c r="AH29" i="11"/>
  <c r="AG34" i="11"/>
  <c r="X42" i="11"/>
  <c r="Z37" i="11"/>
  <c r="Z79" i="11" s="1"/>
  <c r="Z38" i="11"/>
  <c r="Z78" i="11"/>
  <c r="Z81" i="11" s="1"/>
  <c r="Y42" i="11"/>
  <c r="AB28" i="11"/>
  <c r="AA35" i="11"/>
  <c r="AA36" i="11" s="1"/>
  <c r="AC41" i="13" l="1"/>
  <c r="AC42" i="13" s="1"/>
  <c r="AC45" i="13"/>
  <c r="AC46" i="13" s="1"/>
  <c r="AC49" i="13"/>
  <c r="AC50" i="13" s="1"/>
  <c r="AD34" i="13"/>
  <c r="AA53" i="13"/>
  <c r="AA95" i="13" s="1"/>
  <c r="AA94" i="13"/>
  <c r="AA97" i="13" s="1"/>
  <c r="AB52" i="13"/>
  <c r="Z58" i="13"/>
  <c r="AF40" i="13"/>
  <c r="AF44" i="13"/>
  <c r="AG35" i="13"/>
  <c r="AF48" i="13"/>
  <c r="AC94" i="12"/>
  <c r="AC97" i="12" s="1"/>
  <c r="AC53" i="12"/>
  <c r="AC95" i="12" s="1"/>
  <c r="AC54" i="12"/>
  <c r="AB94" i="12"/>
  <c r="AB53" i="12"/>
  <c r="AB95" i="12" s="1"/>
  <c r="AB54" i="12"/>
  <c r="AH48" i="12"/>
  <c r="AH44" i="12"/>
  <c r="AH40" i="12"/>
  <c r="AI35" i="12"/>
  <c r="AD49" i="12"/>
  <c r="AD50" i="12" s="1"/>
  <c r="AD45" i="12"/>
  <c r="AD46" i="12" s="1"/>
  <c r="AD41" i="12"/>
  <c r="AD42" i="12" s="1"/>
  <c r="AD52" i="12" s="1"/>
  <c r="AE34" i="12"/>
  <c r="AA58" i="12"/>
  <c r="AA37" i="11"/>
  <c r="AA79" i="11" s="1"/>
  <c r="AA78" i="11"/>
  <c r="AA81" i="11" s="1"/>
  <c r="AB35" i="11"/>
  <c r="AB36" i="11" s="1"/>
  <c r="AC28" i="11"/>
  <c r="Z42" i="11"/>
  <c r="AH34" i="11"/>
  <c r="AI29" i="11"/>
  <c r="AG40" i="13" l="1"/>
  <c r="AG44" i="13"/>
  <c r="AG48" i="13"/>
  <c r="AH35" i="13"/>
  <c r="AA54" i="13"/>
  <c r="AB53" i="13"/>
  <c r="AB95" i="13" s="1"/>
  <c r="AB94" i="13"/>
  <c r="AB97" i="13" s="1"/>
  <c r="AD41" i="13"/>
  <c r="AD42" i="13" s="1"/>
  <c r="AD45" i="13"/>
  <c r="AD46" i="13" s="1"/>
  <c r="AD49" i="13"/>
  <c r="AD50" i="13" s="1"/>
  <c r="AE34" i="13"/>
  <c r="AC52" i="13"/>
  <c r="AB58" i="12"/>
  <c r="AE49" i="12"/>
  <c r="AE50" i="12" s="1"/>
  <c r="AE45" i="12"/>
  <c r="AE46" i="12" s="1"/>
  <c r="AE41" i="12"/>
  <c r="AE42" i="12" s="1"/>
  <c r="AE52" i="12" s="1"/>
  <c r="AF34" i="12"/>
  <c r="AD94" i="12"/>
  <c r="AD97" i="12" s="1"/>
  <c r="AD53" i="12"/>
  <c r="AD95" i="12" s="1"/>
  <c r="AD54" i="12"/>
  <c r="AB97" i="12"/>
  <c r="AC58" i="12"/>
  <c r="AI48" i="12"/>
  <c r="AI44" i="12"/>
  <c r="AI40" i="12"/>
  <c r="AJ35" i="12"/>
  <c r="AB37" i="11"/>
  <c r="AB79" i="11" s="1"/>
  <c r="AB78" i="11"/>
  <c r="AB81" i="11" s="1"/>
  <c r="AI34" i="11"/>
  <c r="AJ29" i="11"/>
  <c r="AC35" i="11"/>
  <c r="AC36" i="11" s="1"/>
  <c r="AD28" i="11"/>
  <c r="AA38" i="11"/>
  <c r="AC53" i="13" l="1"/>
  <c r="AC95" i="13" s="1"/>
  <c r="AC94" i="13"/>
  <c r="AC97" i="13" s="1"/>
  <c r="AC54" i="13"/>
  <c r="AE41" i="13"/>
  <c r="AE42" i="13" s="1"/>
  <c r="AE45" i="13"/>
  <c r="AE46" i="13" s="1"/>
  <c r="AE49" i="13"/>
  <c r="AE50" i="13" s="1"/>
  <c r="AF34" i="13"/>
  <c r="AB54" i="13"/>
  <c r="AA58" i="13"/>
  <c r="AH40" i="13"/>
  <c r="AH44" i="13"/>
  <c r="AH48" i="13"/>
  <c r="AI35" i="13"/>
  <c r="AD52" i="13"/>
  <c r="AF49" i="12"/>
  <c r="AF50" i="12" s="1"/>
  <c r="AF45" i="12"/>
  <c r="AF46" i="12" s="1"/>
  <c r="AF41" i="12"/>
  <c r="AF42" i="12" s="1"/>
  <c r="AG34" i="12"/>
  <c r="AD58" i="12"/>
  <c r="AE53" i="12"/>
  <c r="AE95" i="12" s="1"/>
  <c r="AE94" i="12"/>
  <c r="AE97" i="12" s="1"/>
  <c r="AK35" i="12"/>
  <c r="AJ48" i="12"/>
  <c r="AJ40" i="12"/>
  <c r="AJ44" i="12"/>
  <c r="AE28" i="11"/>
  <c r="AD35" i="11"/>
  <c r="AD36" i="11" s="1"/>
  <c r="AC78" i="11"/>
  <c r="AC37" i="11"/>
  <c r="AC79" i="11" s="1"/>
  <c r="AC38" i="11"/>
  <c r="AJ34" i="11"/>
  <c r="AK29" i="11"/>
  <c r="AA42" i="11"/>
  <c r="AB38" i="11"/>
  <c r="AI44" i="13" l="1"/>
  <c r="AI48" i="13"/>
  <c r="AJ35" i="13"/>
  <c r="AI40" i="13"/>
  <c r="AF45" i="13"/>
  <c r="AF46" i="13" s="1"/>
  <c r="AF49" i="13"/>
  <c r="AF50" i="13" s="1"/>
  <c r="AG34" i="13"/>
  <c r="AF41" i="13"/>
  <c r="AF42" i="13" s="1"/>
  <c r="AF52" i="13" s="1"/>
  <c r="AB58" i="13"/>
  <c r="AE52" i="13"/>
  <c r="AC58" i="13"/>
  <c r="AD53" i="13"/>
  <c r="AD95" i="13" s="1"/>
  <c r="AD94" i="13"/>
  <c r="AD97" i="13" s="1"/>
  <c r="AD54" i="13"/>
  <c r="AL35" i="12"/>
  <c r="AK40" i="12"/>
  <c r="AK44" i="12"/>
  <c r="AK48" i="12"/>
  <c r="AH34" i="12"/>
  <c r="AG41" i="12"/>
  <c r="AG42" i="12" s="1"/>
  <c r="AG49" i="12"/>
  <c r="AG50" i="12" s="1"/>
  <c r="AG45" i="12"/>
  <c r="AG46" i="12" s="1"/>
  <c r="AF52" i="12"/>
  <c r="AE54" i="12"/>
  <c r="AK34" i="11"/>
  <c r="AL29" i="11"/>
  <c r="AB42" i="11"/>
  <c r="AC42" i="11"/>
  <c r="AC81" i="11"/>
  <c r="AD78" i="11"/>
  <c r="AD81" i="11" s="1"/>
  <c r="AD37" i="11"/>
  <c r="AD79" i="11" s="1"/>
  <c r="AD38" i="11"/>
  <c r="AE35" i="11"/>
  <c r="AE36" i="11" s="1"/>
  <c r="AF28" i="11"/>
  <c r="AF53" i="13" l="1"/>
  <c r="AF95" i="13" s="1"/>
  <c r="AF94" i="13"/>
  <c r="AF97" i="13" s="1"/>
  <c r="AG49" i="13"/>
  <c r="AG50" i="13" s="1"/>
  <c r="AH34" i="13"/>
  <c r="AG41" i="13"/>
  <c r="AG42" i="13" s="1"/>
  <c r="AG45" i="13"/>
  <c r="AG46" i="13" s="1"/>
  <c r="AE94" i="13"/>
  <c r="AE53" i="13"/>
  <c r="AE95" i="13" s="1"/>
  <c r="AD58" i="13"/>
  <c r="AJ48" i="13"/>
  <c r="AK35" i="13"/>
  <c r="AJ40" i="13"/>
  <c r="AJ44" i="13"/>
  <c r="AE58" i="12"/>
  <c r="AI34" i="12"/>
  <c r="AH41" i="12"/>
  <c r="AH42" i="12" s="1"/>
  <c r="AH49" i="12"/>
  <c r="AH50" i="12" s="1"/>
  <c r="AH45" i="12"/>
  <c r="AH46" i="12" s="1"/>
  <c r="AF94" i="12"/>
  <c r="AF97" i="12" s="1"/>
  <c r="AF54" i="12"/>
  <c r="AF53" i="12"/>
  <c r="AF95" i="12" s="1"/>
  <c r="AG52" i="12"/>
  <c r="AL48" i="12"/>
  <c r="AL44" i="12"/>
  <c r="AL40" i="12"/>
  <c r="AM35" i="12"/>
  <c r="AF35" i="11"/>
  <c r="AF36" i="11" s="1"/>
  <c r="AG28" i="11"/>
  <c r="AE37" i="11"/>
  <c r="AE79" i="11" s="1"/>
  <c r="AE78" i="11"/>
  <c r="AD42" i="11"/>
  <c r="AM29" i="11"/>
  <c r="AL34" i="11"/>
  <c r="AK44" i="13" l="1"/>
  <c r="AK40" i="13"/>
  <c r="AL35" i="13"/>
  <c r="AK48" i="13"/>
  <c r="AG52" i="13"/>
  <c r="AH45" i="13"/>
  <c r="AH46" i="13" s="1"/>
  <c r="AH49" i="13"/>
  <c r="AH50" i="13" s="1"/>
  <c r="AI34" i="13"/>
  <c r="AH41" i="13"/>
  <c r="AH42" i="13" s="1"/>
  <c r="AE97" i="13"/>
  <c r="AF54" i="13"/>
  <c r="AE54" i="13"/>
  <c r="AF58" i="12"/>
  <c r="AM48" i="12"/>
  <c r="AM44" i="12"/>
  <c r="AM40" i="12"/>
  <c r="AN35" i="12"/>
  <c r="AH52" i="12"/>
  <c r="AI49" i="12"/>
  <c r="AI50" i="12" s="1"/>
  <c r="AI45" i="12"/>
  <c r="AI46" i="12" s="1"/>
  <c r="AI41" i="12"/>
  <c r="AI42" i="12" s="1"/>
  <c r="AI52" i="12" s="1"/>
  <c r="AJ34" i="12"/>
  <c r="AG94" i="12"/>
  <c r="AG53" i="12"/>
  <c r="AG95" i="12" s="1"/>
  <c r="AF78" i="11"/>
  <c r="AF37" i="11"/>
  <c r="AF79" i="11" s="1"/>
  <c r="AG35" i="11"/>
  <c r="AG36" i="11" s="1"/>
  <c r="AH28" i="11"/>
  <c r="AM34" i="11"/>
  <c r="AN29" i="11"/>
  <c r="AE81" i="11"/>
  <c r="AE38" i="11"/>
  <c r="AG94" i="13" l="1"/>
  <c r="AG53" i="13"/>
  <c r="AG95" i="13" s="1"/>
  <c r="AG54" i="13"/>
  <c r="AL48" i="13"/>
  <c r="AM35" i="13"/>
  <c r="AL40" i="13"/>
  <c r="AL44" i="13"/>
  <c r="AE58" i="13"/>
  <c r="AF58" i="13"/>
  <c r="AH52" i="13"/>
  <c r="AI49" i="13"/>
  <c r="AI50" i="13" s="1"/>
  <c r="AJ34" i="13"/>
  <c r="AI45" i="13"/>
  <c r="AI46" i="13" s="1"/>
  <c r="AI41" i="13"/>
  <c r="AI42" i="13" s="1"/>
  <c r="AG97" i="12"/>
  <c r="AJ49" i="12"/>
  <c r="AJ50" i="12" s="1"/>
  <c r="AJ45" i="12"/>
  <c r="AJ46" i="12" s="1"/>
  <c r="AJ41" i="12"/>
  <c r="AJ42" i="12" s="1"/>
  <c r="AJ52" i="12" s="1"/>
  <c r="AK34" i="12"/>
  <c r="AN48" i="12"/>
  <c r="AN44" i="12"/>
  <c r="AN40" i="12"/>
  <c r="AO35" i="12"/>
  <c r="AG54" i="12"/>
  <c r="AI53" i="12"/>
  <c r="AI95" i="12" s="1"/>
  <c r="AI94" i="12"/>
  <c r="AI97" i="12" s="1"/>
  <c r="AH94" i="12"/>
  <c r="AH97" i="12" s="1"/>
  <c r="AH54" i="12"/>
  <c r="AH53" i="12"/>
  <c r="AH95" i="12" s="1"/>
  <c r="AG78" i="11"/>
  <c r="AG81" i="11" s="1"/>
  <c r="AG37" i="11"/>
  <c r="AG79" i="11" s="1"/>
  <c r="AG38" i="11"/>
  <c r="AE42" i="11"/>
  <c r="AF38" i="11"/>
  <c r="AN34" i="11"/>
  <c r="AO29" i="11"/>
  <c r="AI28" i="11"/>
  <c r="AH35" i="11"/>
  <c r="AH36" i="11" s="1"/>
  <c r="AF81" i="11"/>
  <c r="AM40" i="13" l="1"/>
  <c r="AN35" i="13"/>
  <c r="AM48" i="13"/>
  <c r="AM44" i="13"/>
  <c r="AJ41" i="13"/>
  <c r="AJ42" i="13" s="1"/>
  <c r="AJ45" i="13"/>
  <c r="AJ46" i="13" s="1"/>
  <c r="AJ49" i="13"/>
  <c r="AJ50" i="13" s="1"/>
  <c r="AK34" i="13"/>
  <c r="AH94" i="13"/>
  <c r="AH53" i="13"/>
  <c r="AH95" i="13" s="1"/>
  <c r="AH54" i="13"/>
  <c r="AG58" i="13"/>
  <c r="AI52" i="13"/>
  <c r="AG97" i="13"/>
  <c r="AI54" i="12"/>
  <c r="AH58" i="12"/>
  <c r="AK49" i="12"/>
  <c r="AK50" i="12" s="1"/>
  <c r="AK45" i="12"/>
  <c r="AK46" i="12" s="1"/>
  <c r="AK41" i="12"/>
  <c r="AK42" i="12" s="1"/>
  <c r="AL34" i="12"/>
  <c r="AJ94" i="12"/>
  <c r="AJ53" i="12"/>
  <c r="AJ95" i="12" s="1"/>
  <c r="AG58" i="12"/>
  <c r="AO48" i="12"/>
  <c r="AO44" i="12"/>
  <c r="AO40" i="12"/>
  <c r="AP35" i="12"/>
  <c r="AJ28" i="11"/>
  <c r="AI35" i="11"/>
  <c r="AI36" i="11" s="1"/>
  <c r="AO34" i="11"/>
  <c r="AP29" i="11"/>
  <c r="AP34" i="11" s="1"/>
  <c r="AF42" i="11"/>
  <c r="AG42" i="11"/>
  <c r="AH37" i="11"/>
  <c r="AH79" i="11" s="1"/>
  <c r="AH38" i="11"/>
  <c r="AH78" i="11"/>
  <c r="AH81" i="11" s="1"/>
  <c r="AK41" i="13" l="1"/>
  <c r="AK42" i="13" s="1"/>
  <c r="AK45" i="13"/>
  <c r="AK46" i="13" s="1"/>
  <c r="AL34" i="13"/>
  <c r="AK49" i="13"/>
  <c r="AK50" i="13" s="1"/>
  <c r="AH58" i="13"/>
  <c r="AJ52" i="13"/>
  <c r="AI54" i="13"/>
  <c r="AI94" i="13"/>
  <c r="AI53" i="13"/>
  <c r="AI95" i="13" s="1"/>
  <c r="AN40" i="13"/>
  <c r="AN44" i="13"/>
  <c r="AN48" i="13"/>
  <c r="AO35" i="13"/>
  <c r="AH97" i="13"/>
  <c r="AK52" i="12"/>
  <c r="AJ54" i="12"/>
  <c r="AP48" i="12"/>
  <c r="AP44" i="12"/>
  <c r="AP40" i="12"/>
  <c r="AJ97" i="12"/>
  <c r="AL49" i="12"/>
  <c r="AL50" i="12" s="1"/>
  <c r="AL45" i="12"/>
  <c r="AL46" i="12" s="1"/>
  <c r="AL41" i="12"/>
  <c r="AL42" i="12" s="1"/>
  <c r="AL52" i="12" s="1"/>
  <c r="AM34" i="12"/>
  <c r="AI58" i="12"/>
  <c r="AH42" i="11"/>
  <c r="AI38" i="11"/>
  <c r="AI78" i="11"/>
  <c r="AI81" i="11" s="1"/>
  <c r="AI37" i="11"/>
  <c r="AI79" i="11" s="1"/>
  <c r="AJ35" i="11"/>
  <c r="AJ36" i="11" s="1"/>
  <c r="AK28" i="11"/>
  <c r="AO40" i="13" l="1"/>
  <c r="AO44" i="13"/>
  <c r="AO48" i="13"/>
  <c r="AP35" i="13"/>
  <c r="AJ94" i="13"/>
  <c r="AJ53" i="13"/>
  <c r="AJ95" i="13" s="1"/>
  <c r="AI58" i="13"/>
  <c r="AL41" i="13"/>
  <c r="AL42" i="13" s="1"/>
  <c r="AL45" i="13"/>
  <c r="AL46" i="13" s="1"/>
  <c r="AL49" i="13"/>
  <c r="AL50" i="13" s="1"/>
  <c r="AM34" i="13"/>
  <c r="AI97" i="13"/>
  <c r="AK52" i="13"/>
  <c r="AM49" i="12"/>
  <c r="AM50" i="12" s="1"/>
  <c r="AM45" i="12"/>
  <c r="AM46" i="12" s="1"/>
  <c r="AM41" i="12"/>
  <c r="AM42" i="12" s="1"/>
  <c r="AM52" i="12" s="1"/>
  <c r="AN34" i="12"/>
  <c r="AL94" i="12"/>
  <c r="AL97" i="12" s="1"/>
  <c r="AL53" i="12"/>
  <c r="AL95" i="12" s="1"/>
  <c r="AL54" i="12"/>
  <c r="AJ58" i="12"/>
  <c r="AK94" i="12"/>
  <c r="AK53" i="12"/>
  <c r="AK95" i="12" s="1"/>
  <c r="AK54" i="12"/>
  <c r="AI42" i="11"/>
  <c r="AK35" i="11"/>
  <c r="AK36" i="11" s="1"/>
  <c r="AL28" i="11"/>
  <c r="AJ38" i="11"/>
  <c r="AJ78" i="11"/>
  <c r="AJ37" i="11"/>
  <c r="AJ79" i="11" s="1"/>
  <c r="AJ97" i="13" l="1"/>
  <c r="AJ54" i="13"/>
  <c r="AM41" i="13"/>
  <c r="AM42" i="13" s="1"/>
  <c r="AM45" i="13"/>
  <c r="AM46" i="13" s="1"/>
  <c r="AM49" i="13"/>
  <c r="AM50" i="13" s="1"/>
  <c r="AN34" i="13"/>
  <c r="AP40" i="13"/>
  <c r="AP44" i="13"/>
  <c r="AP48" i="13"/>
  <c r="AL52" i="13"/>
  <c r="AK53" i="13"/>
  <c r="AK95" i="13" s="1"/>
  <c r="AK94" i="13"/>
  <c r="AK97" i="13" s="1"/>
  <c r="AK54" i="13"/>
  <c r="AK58" i="12"/>
  <c r="AN49" i="12"/>
  <c r="AN50" i="12" s="1"/>
  <c r="AN45" i="12"/>
  <c r="AN46" i="12" s="1"/>
  <c r="AN41" i="12"/>
  <c r="AN42" i="12" s="1"/>
  <c r="AN52" i="12" s="1"/>
  <c r="AO34" i="12"/>
  <c r="AM53" i="12"/>
  <c r="AM95" i="12" s="1"/>
  <c r="AM94" i="12"/>
  <c r="AM97" i="12" s="1"/>
  <c r="AK97" i="12"/>
  <c r="AL58" i="12"/>
  <c r="AJ42" i="11"/>
  <c r="AL35" i="11"/>
  <c r="AL36" i="11" s="1"/>
  <c r="AM28" i="11"/>
  <c r="AK78" i="11"/>
  <c r="AK37" i="11"/>
  <c r="AK79" i="11" s="1"/>
  <c r="AK38" i="11"/>
  <c r="AJ81" i="11"/>
  <c r="AN45" i="13" l="1"/>
  <c r="AN46" i="13" s="1"/>
  <c r="AN49" i="13"/>
  <c r="AN50" i="13" s="1"/>
  <c r="AO34" i="13"/>
  <c r="AN41" i="13"/>
  <c r="AN42" i="13" s="1"/>
  <c r="AN52" i="13" s="1"/>
  <c r="AL53" i="13"/>
  <c r="AL95" i="13" s="1"/>
  <c r="AL94" i="13"/>
  <c r="AL54" i="13"/>
  <c r="AK58" i="13"/>
  <c r="AM52" i="13"/>
  <c r="AJ58" i="13"/>
  <c r="AN94" i="12"/>
  <c r="AN53" i="12"/>
  <c r="AN95" i="12" s="1"/>
  <c r="AM54" i="12"/>
  <c r="AP34" i="12"/>
  <c r="AO45" i="12"/>
  <c r="AO46" i="12" s="1"/>
  <c r="AO49" i="12"/>
  <c r="AO50" i="12" s="1"/>
  <c r="AO41" i="12"/>
  <c r="AO42" i="12" s="1"/>
  <c r="AO52" i="12" s="1"/>
  <c r="AK42" i="11"/>
  <c r="AK81" i="11"/>
  <c r="AM35" i="11"/>
  <c r="AM36" i="11" s="1"/>
  <c r="AN28" i="11"/>
  <c r="AL78" i="11"/>
  <c r="AL81" i="11" s="1"/>
  <c r="AL37" i="11"/>
  <c r="AL79" i="11" s="1"/>
  <c r="AL38" i="11"/>
  <c r="AL58" i="13" l="1"/>
  <c r="AL97" i="13"/>
  <c r="AM94" i="13"/>
  <c r="AM53" i="13"/>
  <c r="AM95" i="13" s="1"/>
  <c r="AN94" i="13"/>
  <c r="AN53" i="13"/>
  <c r="AN95" i="13" s="1"/>
  <c r="AO49" i="13"/>
  <c r="AO50" i="13" s="1"/>
  <c r="AP34" i="13"/>
  <c r="AO41" i="13"/>
  <c r="AO42" i="13" s="1"/>
  <c r="AO45" i="13"/>
  <c r="AO46" i="13" s="1"/>
  <c r="AN54" i="12"/>
  <c r="AN97" i="12"/>
  <c r="AO53" i="12"/>
  <c r="AO95" i="12" s="1"/>
  <c r="AO94" i="12"/>
  <c r="AO97" i="12" s="1"/>
  <c r="AO54" i="12"/>
  <c r="AP49" i="12"/>
  <c r="AP50" i="12" s="1"/>
  <c r="F50" i="12" s="1"/>
  <c r="AP45" i="12"/>
  <c r="AP46" i="12" s="1"/>
  <c r="F46" i="12" s="1"/>
  <c r="AP41" i="12"/>
  <c r="AP42" i="12" s="1"/>
  <c r="AM58" i="12"/>
  <c r="AL42" i="11"/>
  <c r="AN35" i="11"/>
  <c r="AN36" i="11" s="1"/>
  <c r="AO28" i="11"/>
  <c r="AM37" i="11"/>
  <c r="AM79" i="11" s="1"/>
  <c r="AM38" i="11"/>
  <c r="AM78" i="11"/>
  <c r="AM97" i="13" l="1"/>
  <c r="AP45" i="13"/>
  <c r="AP46" i="13" s="1"/>
  <c r="AP49" i="13"/>
  <c r="AP50" i="13" s="1"/>
  <c r="AP41" i="13"/>
  <c r="AP42" i="13" s="1"/>
  <c r="AP52" i="13" s="1"/>
  <c r="AM54" i="13"/>
  <c r="AO52" i="13"/>
  <c r="AN97" i="13"/>
  <c r="AN54" i="13"/>
  <c r="AN58" i="13" s="1"/>
  <c r="AP52" i="12"/>
  <c r="F42" i="12"/>
  <c r="AO107" i="12"/>
  <c r="AO108" i="12" s="1"/>
  <c r="AO109" i="12" s="1"/>
  <c r="AO111" i="12"/>
  <c r="L59" i="12"/>
  <c r="L64" i="12" s="1"/>
  <c r="AN107" i="12"/>
  <c r="AN108" i="12" s="1"/>
  <c r="AN109" i="12" s="1"/>
  <c r="AN111" i="12" s="1"/>
  <c r="AO35" i="11"/>
  <c r="AO36" i="11" s="1"/>
  <c r="AP28" i="11"/>
  <c r="AP35" i="11" s="1"/>
  <c r="AP36" i="11" s="1"/>
  <c r="AM42" i="11"/>
  <c r="AN78" i="11"/>
  <c r="AN37" i="11"/>
  <c r="AN79" i="11" s="1"/>
  <c r="AM81" i="11"/>
  <c r="AO94" i="13" l="1"/>
  <c r="AO53" i="13"/>
  <c r="AO95" i="13" s="1"/>
  <c r="AO54" i="13"/>
  <c r="AO58" i="13" s="1"/>
  <c r="AM58" i="13"/>
  <c r="AP94" i="13"/>
  <c r="AP97" i="13" s="1"/>
  <c r="AP53" i="13"/>
  <c r="AP95" i="13" s="1"/>
  <c r="AP54" i="13"/>
  <c r="AP58" i="13" s="1"/>
  <c r="AN107" i="13"/>
  <c r="AN108" i="13" s="1"/>
  <c r="AN110" i="13" s="1"/>
  <c r="AN112" i="13" s="1"/>
  <c r="M62" i="12"/>
  <c r="H77" i="12"/>
  <c r="AP94" i="12"/>
  <c r="AP53" i="12"/>
  <c r="AP95" i="12" s="1"/>
  <c r="F52" i="12"/>
  <c r="AN38" i="11"/>
  <c r="L43" i="11"/>
  <c r="L48" i="11" s="1"/>
  <c r="AN81" i="11"/>
  <c r="AP37" i="11"/>
  <c r="AP79" i="11" s="1"/>
  <c r="AP78" i="11"/>
  <c r="AP81" i="11" s="1"/>
  <c r="AO78" i="11"/>
  <c r="AO37" i="11"/>
  <c r="AO79" i="11" s="1"/>
  <c r="AO38" i="11"/>
  <c r="L59" i="13" l="1"/>
  <c r="L64" i="13" s="1"/>
  <c r="AP107" i="13"/>
  <c r="AP108" i="13" s="1"/>
  <c r="AP110" i="13" s="1"/>
  <c r="AP112" i="13" s="1"/>
  <c r="G116" i="13"/>
  <c r="AO97" i="13"/>
  <c r="H100" i="12"/>
  <c r="H103" i="12" s="1"/>
  <c r="H79" i="12"/>
  <c r="H83" i="12"/>
  <c r="AP54" i="12"/>
  <c r="AP97" i="12"/>
  <c r="M68" i="12"/>
  <c r="AP91" i="11"/>
  <c r="AP92" i="11" s="1"/>
  <c r="AP93" i="11" s="1"/>
  <c r="AP95" i="11"/>
  <c r="G99" i="11"/>
  <c r="AP38" i="11"/>
  <c r="AN91" i="11"/>
  <c r="AN92" i="11" s="1"/>
  <c r="AN93" i="11" s="1"/>
  <c r="AN95" i="11" s="1"/>
  <c r="M46" i="11"/>
  <c r="H61" i="11"/>
  <c r="AO81" i="11"/>
  <c r="AO107" i="13" l="1"/>
  <c r="AO108" i="13" s="1"/>
  <c r="AO110" i="13" s="1"/>
  <c r="AO112" i="13"/>
  <c r="M62" i="13"/>
  <c r="H77" i="13"/>
  <c r="M102" i="12"/>
  <c r="M63" i="12"/>
  <c r="AP107" i="12"/>
  <c r="AP108" i="12" s="1"/>
  <c r="AP109" i="12" s="1"/>
  <c r="AP111" i="12"/>
  <c r="G115" i="12"/>
  <c r="H87" i="12"/>
  <c r="I76" i="12"/>
  <c r="H106" i="12"/>
  <c r="H109" i="12" s="1"/>
  <c r="H84" i="12"/>
  <c r="H84" i="11"/>
  <c r="H87" i="11" s="1"/>
  <c r="H67" i="11"/>
  <c r="H63" i="11"/>
  <c r="M52" i="11"/>
  <c r="AO91" i="11"/>
  <c r="AO92" i="11" s="1"/>
  <c r="AO93" i="11" s="1"/>
  <c r="AO95" i="11"/>
  <c r="H100" i="13" l="1"/>
  <c r="H103" i="13" s="1"/>
  <c r="H83" i="13"/>
  <c r="H79" i="13"/>
  <c r="M68" i="13"/>
  <c r="I78" i="12"/>
  <c r="I77" i="12"/>
  <c r="H111" i="12"/>
  <c r="M101" i="12"/>
  <c r="M103" i="12" s="1"/>
  <c r="M67" i="12"/>
  <c r="M69" i="12" s="1"/>
  <c r="M71" i="12" s="1"/>
  <c r="M64" i="12"/>
  <c r="N62" i="12" s="1"/>
  <c r="I82" i="12"/>
  <c r="H88" i="12"/>
  <c r="H89" i="12" s="1"/>
  <c r="M86" i="11"/>
  <c r="M47" i="11"/>
  <c r="H71" i="11"/>
  <c r="I60" i="11"/>
  <c r="H90" i="11"/>
  <c r="H93" i="11" s="1"/>
  <c r="H68" i="11"/>
  <c r="H95" i="11"/>
  <c r="M102" i="13" l="1"/>
  <c r="M63" i="13"/>
  <c r="H87" i="13"/>
  <c r="I76" i="13"/>
  <c r="H106" i="13"/>
  <c r="H110" i="13" s="1"/>
  <c r="H84" i="13"/>
  <c r="H112" i="13"/>
  <c r="I100" i="12"/>
  <c r="I103" i="12" s="1"/>
  <c r="I83" i="12"/>
  <c r="I106" i="12" s="1"/>
  <c r="I109" i="12" s="1"/>
  <c r="M107" i="12"/>
  <c r="M108" i="12" s="1"/>
  <c r="M109" i="12" s="1"/>
  <c r="M111" i="12"/>
  <c r="I79" i="12"/>
  <c r="I84" i="12"/>
  <c r="N68" i="12"/>
  <c r="I66" i="11"/>
  <c r="H72" i="11"/>
  <c r="H73" i="11" s="1"/>
  <c r="I62" i="11"/>
  <c r="I61" i="11" s="1"/>
  <c r="M85" i="11"/>
  <c r="M87" i="11" s="1"/>
  <c r="M51" i="11"/>
  <c r="M53" i="11" s="1"/>
  <c r="M55" i="11" s="1"/>
  <c r="M48" i="11"/>
  <c r="N46" i="11" s="1"/>
  <c r="H88" i="13" l="1"/>
  <c r="H89" i="13" s="1"/>
  <c r="I82" i="13"/>
  <c r="I78" i="13"/>
  <c r="I77" i="13"/>
  <c r="I79" i="13" s="1"/>
  <c r="M101" i="13"/>
  <c r="M103" i="13" s="1"/>
  <c r="M67" i="13"/>
  <c r="M69" i="13" s="1"/>
  <c r="M71" i="13" s="1"/>
  <c r="M64" i="13"/>
  <c r="N62" i="13" s="1"/>
  <c r="N102" i="12"/>
  <c r="N63" i="12"/>
  <c r="I88" i="12"/>
  <c r="J82" i="12"/>
  <c r="J76" i="12"/>
  <c r="I87" i="12"/>
  <c r="I89" i="12" s="1"/>
  <c r="I111" i="12"/>
  <c r="I84" i="11"/>
  <c r="I87" i="11" s="1"/>
  <c r="I67" i="11"/>
  <c r="I90" i="11" s="1"/>
  <c r="I93" i="11" s="1"/>
  <c r="I63" i="11"/>
  <c r="N52" i="11"/>
  <c r="I68" i="11"/>
  <c r="M91" i="11"/>
  <c r="M92" i="11" s="1"/>
  <c r="M93" i="11" s="1"/>
  <c r="M95" i="11" s="1"/>
  <c r="I87" i="13" l="1"/>
  <c r="J76" i="13"/>
  <c r="N68" i="13"/>
  <c r="I100" i="13"/>
  <c r="I103" i="13" s="1"/>
  <c r="I83" i="13"/>
  <c r="I106" i="13" s="1"/>
  <c r="I110" i="13" s="1"/>
  <c r="I84" i="13"/>
  <c r="M107" i="13"/>
  <c r="M108" i="13" s="1"/>
  <c r="M110" i="13" s="1"/>
  <c r="M112" i="13"/>
  <c r="J78" i="12"/>
  <c r="J77" i="12"/>
  <c r="N67" i="12"/>
  <c r="N69" i="12" s="1"/>
  <c r="N71" i="12" s="1"/>
  <c r="N101" i="12"/>
  <c r="N103" i="12" s="1"/>
  <c r="N64" i="12"/>
  <c r="O62" i="12" s="1"/>
  <c r="J66" i="11"/>
  <c r="I72" i="11"/>
  <c r="J60" i="11"/>
  <c r="I71" i="11"/>
  <c r="I73" i="11" s="1"/>
  <c r="N86" i="11"/>
  <c r="N47" i="11"/>
  <c r="I95" i="11"/>
  <c r="J82" i="13" l="1"/>
  <c r="I88" i="13"/>
  <c r="I112" i="13"/>
  <c r="N102" i="13"/>
  <c r="N63" i="13"/>
  <c r="J78" i="13"/>
  <c r="J77" i="13" s="1"/>
  <c r="I89" i="13"/>
  <c r="O68" i="12"/>
  <c r="N107" i="12"/>
  <c r="N108" i="12" s="1"/>
  <c r="N109" i="12" s="1"/>
  <c r="N111" i="12"/>
  <c r="J100" i="12"/>
  <c r="J103" i="12" s="1"/>
  <c r="J83" i="12"/>
  <c r="J79" i="12"/>
  <c r="N85" i="11"/>
  <c r="N87" i="11" s="1"/>
  <c r="N51" i="11"/>
  <c r="N53" i="11" s="1"/>
  <c r="N55" i="11" s="1"/>
  <c r="N48" i="11"/>
  <c r="O46" i="11" s="1"/>
  <c r="J62" i="11"/>
  <c r="J61" i="11"/>
  <c r="J100" i="13" l="1"/>
  <c r="J103" i="13" s="1"/>
  <c r="J83" i="13"/>
  <c r="J106" i="13" s="1"/>
  <c r="J110" i="13" s="1"/>
  <c r="J79" i="13"/>
  <c r="N101" i="13"/>
  <c r="N103" i="13" s="1"/>
  <c r="N67" i="13"/>
  <c r="N69" i="13" s="1"/>
  <c r="N71" i="13" s="1"/>
  <c r="N64" i="13"/>
  <c r="O62" i="13" s="1"/>
  <c r="J84" i="13"/>
  <c r="J106" i="12"/>
  <c r="J109" i="12" s="1"/>
  <c r="J84" i="12"/>
  <c r="J87" i="12"/>
  <c r="K76" i="12"/>
  <c r="J111" i="12"/>
  <c r="O102" i="12"/>
  <c r="O63" i="12"/>
  <c r="J84" i="11"/>
  <c r="J87" i="11" s="1"/>
  <c r="J67" i="11"/>
  <c r="J63" i="11"/>
  <c r="O52" i="11"/>
  <c r="N91" i="11"/>
  <c r="N92" i="11" s="1"/>
  <c r="N93" i="11" s="1"/>
  <c r="N95" i="11" s="1"/>
  <c r="O68" i="13" l="1"/>
  <c r="K82" i="13"/>
  <c r="J88" i="13"/>
  <c r="N107" i="13"/>
  <c r="N108" i="13" s="1"/>
  <c r="N110" i="13" s="1"/>
  <c r="N112" i="13" s="1"/>
  <c r="K76" i="13"/>
  <c r="J87" i="13"/>
  <c r="J112" i="13"/>
  <c r="O101" i="12"/>
  <c r="O103" i="12" s="1"/>
  <c r="O67" i="12"/>
  <c r="O69" i="12" s="1"/>
  <c r="O71" i="12" s="1"/>
  <c r="O64" i="12"/>
  <c r="P62" i="12" s="1"/>
  <c r="K82" i="12"/>
  <c r="J88" i="12"/>
  <c r="J89" i="12" s="1"/>
  <c r="K78" i="12"/>
  <c r="K77" i="12" s="1"/>
  <c r="J90" i="11"/>
  <c r="J93" i="11" s="1"/>
  <c r="J68" i="11"/>
  <c r="O86" i="11"/>
  <c r="O47" i="11"/>
  <c r="J71" i="11"/>
  <c r="K60" i="11"/>
  <c r="J95" i="11"/>
  <c r="K78" i="13" l="1"/>
  <c r="K77" i="13"/>
  <c r="O102" i="13"/>
  <c r="O63" i="13"/>
  <c r="J89" i="13"/>
  <c r="K100" i="12"/>
  <c r="K103" i="12" s="1"/>
  <c r="K83" i="12"/>
  <c r="K106" i="12" s="1"/>
  <c r="K109" i="12" s="1"/>
  <c r="K79" i="12"/>
  <c r="K84" i="12"/>
  <c r="P68" i="12"/>
  <c r="O111" i="12"/>
  <c r="O107" i="12"/>
  <c r="O108" i="12" s="1"/>
  <c r="O109" i="12" s="1"/>
  <c r="K62" i="11"/>
  <c r="K61" i="11"/>
  <c r="O85" i="11"/>
  <c r="O87" i="11" s="1"/>
  <c r="O51" i="11"/>
  <c r="O53" i="11" s="1"/>
  <c r="O55" i="11" s="1"/>
  <c r="O48" i="11"/>
  <c r="P46" i="11" s="1"/>
  <c r="J72" i="11"/>
  <c r="J73" i="11" s="1"/>
  <c r="K66" i="11"/>
  <c r="O67" i="13" l="1"/>
  <c r="O69" i="13" s="1"/>
  <c r="O71" i="13" s="1"/>
  <c r="O101" i="13"/>
  <c r="O103" i="13" s="1"/>
  <c r="O64" i="13"/>
  <c r="P62" i="13" s="1"/>
  <c r="K100" i="13"/>
  <c r="K103" i="13" s="1"/>
  <c r="K83" i="13"/>
  <c r="K79" i="13"/>
  <c r="K88" i="12"/>
  <c r="L82" i="12"/>
  <c r="P102" i="12"/>
  <c r="P63" i="12"/>
  <c r="K87" i="12"/>
  <c r="K89" i="12" s="1"/>
  <c r="L76" i="12"/>
  <c r="K111" i="12"/>
  <c r="P52" i="11"/>
  <c r="K84" i="11"/>
  <c r="K87" i="11" s="1"/>
  <c r="K67" i="11"/>
  <c r="K90" i="11" s="1"/>
  <c r="K93" i="11" s="1"/>
  <c r="K63" i="11"/>
  <c r="O91" i="11"/>
  <c r="O92" i="11" s="1"/>
  <c r="O93" i="11" s="1"/>
  <c r="O95" i="11"/>
  <c r="K87" i="13" l="1"/>
  <c r="L76" i="13"/>
  <c r="O107" i="13"/>
  <c r="O108" i="13" s="1"/>
  <c r="O110" i="13" s="1"/>
  <c r="O112" i="13" s="1"/>
  <c r="K106" i="13"/>
  <c r="K110" i="13" s="1"/>
  <c r="K84" i="13"/>
  <c r="K112" i="13"/>
  <c r="P68" i="13"/>
  <c r="L78" i="12"/>
  <c r="L77" i="12"/>
  <c r="P101" i="12"/>
  <c r="P103" i="12" s="1"/>
  <c r="P67" i="12"/>
  <c r="P69" i="12" s="1"/>
  <c r="P71" i="12" s="1"/>
  <c r="P64" i="12"/>
  <c r="Q62" i="12" s="1"/>
  <c r="K71" i="11"/>
  <c r="L60" i="11"/>
  <c r="K95" i="11"/>
  <c r="P86" i="11"/>
  <c r="P47" i="11"/>
  <c r="K68" i="11"/>
  <c r="K88" i="13" l="1"/>
  <c r="L82" i="13"/>
  <c r="L78" i="13"/>
  <c r="L77" i="13"/>
  <c r="P102" i="13"/>
  <c r="P63" i="13"/>
  <c r="K89" i="13"/>
  <c r="Q68" i="12"/>
  <c r="P107" i="12"/>
  <c r="P108" i="12" s="1"/>
  <c r="P109" i="12" s="1"/>
  <c r="P111" i="12" s="1"/>
  <c r="L100" i="12"/>
  <c r="L103" i="12" s="1"/>
  <c r="L83" i="12"/>
  <c r="L79" i="12"/>
  <c r="L87" i="12" s="1"/>
  <c r="K72" i="11"/>
  <c r="L66" i="11"/>
  <c r="P85" i="11"/>
  <c r="P87" i="11" s="1"/>
  <c r="P51" i="11"/>
  <c r="P53" i="11" s="1"/>
  <c r="P55" i="11" s="1"/>
  <c r="P48" i="11"/>
  <c r="Q46" i="11" s="1"/>
  <c r="L62" i="11"/>
  <c r="L61" i="11"/>
  <c r="L63" i="11" s="1"/>
  <c r="L71" i="11" s="1"/>
  <c r="K73" i="11"/>
  <c r="L100" i="13" l="1"/>
  <c r="L103" i="13" s="1"/>
  <c r="L83" i="13"/>
  <c r="L106" i="13" s="1"/>
  <c r="L110" i="13" s="1"/>
  <c r="L79" i="13"/>
  <c r="L87" i="13" s="1"/>
  <c r="L84" i="13"/>
  <c r="L88" i="13" s="1"/>
  <c r="P101" i="13"/>
  <c r="P103" i="13" s="1"/>
  <c r="P67" i="13"/>
  <c r="P69" i="13" s="1"/>
  <c r="P71" i="13" s="1"/>
  <c r="P64" i="13"/>
  <c r="Q62" i="13" s="1"/>
  <c r="L106" i="12"/>
  <c r="L109" i="12" s="1"/>
  <c r="L84" i="12"/>
  <c r="L88" i="12" s="1"/>
  <c r="L89" i="12"/>
  <c r="G120" i="12" s="1"/>
  <c r="L111" i="12"/>
  <c r="Q102" i="12"/>
  <c r="Q63" i="12"/>
  <c r="L84" i="11"/>
  <c r="L87" i="11" s="1"/>
  <c r="L67" i="11"/>
  <c r="L90" i="11" s="1"/>
  <c r="L93" i="11" s="1"/>
  <c r="Q52" i="11"/>
  <c r="P91" i="11"/>
  <c r="P92" i="11" s="1"/>
  <c r="P93" i="11" s="1"/>
  <c r="P95" i="11" s="1"/>
  <c r="P107" i="13" l="1"/>
  <c r="P108" i="13" s="1"/>
  <c r="P110" i="13" s="1"/>
  <c r="P112" i="13" s="1"/>
  <c r="Q68" i="13"/>
  <c r="L89" i="13"/>
  <c r="G122" i="13" s="1"/>
  <c r="L112" i="13"/>
  <c r="G121" i="12"/>
  <c r="G122" i="12" s="1"/>
  <c r="Q101" i="12"/>
  <c r="Q103" i="12" s="1"/>
  <c r="Q67" i="12"/>
  <c r="Q69" i="12" s="1"/>
  <c r="Q71" i="12" s="1"/>
  <c r="Q64" i="12"/>
  <c r="R62" i="12" s="1"/>
  <c r="Q86" i="11"/>
  <c r="Q47" i="11"/>
  <c r="L95" i="11"/>
  <c r="L68" i="11"/>
  <c r="L72" i="11" s="1"/>
  <c r="G121" i="13" l="1"/>
  <c r="G123" i="13" s="1"/>
  <c r="Q102" i="13"/>
  <c r="Q63" i="13"/>
  <c r="R68" i="12"/>
  <c r="Q107" i="12"/>
  <c r="Q108" i="12" s="1"/>
  <c r="Q109" i="12" s="1"/>
  <c r="Q111" i="12" s="1"/>
  <c r="L73" i="11"/>
  <c r="G104" i="11" s="1"/>
  <c r="Q51" i="11"/>
  <c r="Q53" i="11" s="1"/>
  <c r="Q55" i="11" s="1"/>
  <c r="Q85" i="11"/>
  <c r="Q87" i="11" s="1"/>
  <c r="Q48" i="11"/>
  <c r="R46" i="11" s="1"/>
  <c r="Q101" i="13" l="1"/>
  <c r="Q103" i="13" s="1"/>
  <c r="Q67" i="13"/>
  <c r="Q69" i="13" s="1"/>
  <c r="Q71" i="13" s="1"/>
  <c r="Q64" i="13"/>
  <c r="R62" i="13" s="1"/>
  <c r="R102" i="12"/>
  <c r="R63" i="12"/>
  <c r="R52" i="11"/>
  <c r="Q91" i="11"/>
  <c r="Q92" i="11" s="1"/>
  <c r="Q93" i="11" s="1"/>
  <c r="Q95" i="11" s="1"/>
  <c r="G105" i="11"/>
  <c r="G106" i="11" s="1"/>
  <c r="R68" i="13" l="1"/>
  <c r="Q107" i="13"/>
  <c r="Q108" i="13" s="1"/>
  <c r="Q110" i="13" s="1"/>
  <c r="Q112" i="13"/>
  <c r="R101" i="12"/>
  <c r="R103" i="12" s="1"/>
  <c r="R67" i="12"/>
  <c r="R69" i="12" s="1"/>
  <c r="R71" i="12" s="1"/>
  <c r="R64" i="12"/>
  <c r="S62" i="12" s="1"/>
  <c r="R86" i="11"/>
  <c r="R47" i="11"/>
  <c r="R102" i="13" l="1"/>
  <c r="R63" i="13"/>
  <c r="S68" i="12"/>
  <c r="R107" i="12"/>
  <c r="R108" i="12" s="1"/>
  <c r="R109" i="12" s="1"/>
  <c r="R111" i="12"/>
  <c r="R51" i="11"/>
  <c r="R53" i="11" s="1"/>
  <c r="R55" i="11" s="1"/>
  <c r="R85" i="11"/>
  <c r="R87" i="11" s="1"/>
  <c r="R48" i="11"/>
  <c r="S46" i="11" s="1"/>
  <c r="R67" i="13" l="1"/>
  <c r="R69" i="13" s="1"/>
  <c r="R71" i="13" s="1"/>
  <c r="R101" i="13"/>
  <c r="R103" i="13" s="1"/>
  <c r="R64" i="13"/>
  <c r="S62" i="13" s="1"/>
  <c r="S102" i="12"/>
  <c r="S63" i="12"/>
  <c r="S52" i="11"/>
  <c r="R91" i="11"/>
  <c r="R92" i="11" s="1"/>
  <c r="R93" i="11" s="1"/>
  <c r="R95" i="11" s="1"/>
  <c r="S68" i="13" l="1"/>
  <c r="R107" i="13"/>
  <c r="R108" i="13" s="1"/>
  <c r="R110" i="13" s="1"/>
  <c r="R112" i="13"/>
  <c r="S101" i="12"/>
  <c r="S103" i="12" s="1"/>
  <c r="S67" i="12"/>
  <c r="S69" i="12" s="1"/>
  <c r="S71" i="12" s="1"/>
  <c r="S64" i="12"/>
  <c r="T62" i="12" s="1"/>
  <c r="S86" i="11"/>
  <c r="S47" i="11"/>
  <c r="S102" i="13" l="1"/>
  <c r="S63" i="13"/>
  <c r="T68" i="12"/>
  <c r="S107" i="12"/>
  <c r="S108" i="12" s="1"/>
  <c r="S109" i="12" s="1"/>
  <c r="S111" i="12" s="1"/>
  <c r="S51" i="11"/>
  <c r="S53" i="11" s="1"/>
  <c r="S55" i="11" s="1"/>
  <c r="S85" i="11"/>
  <c r="S87" i="11" s="1"/>
  <c r="S48" i="11"/>
  <c r="T46" i="11" s="1"/>
  <c r="S101" i="13" l="1"/>
  <c r="S103" i="13" s="1"/>
  <c r="S67" i="13"/>
  <c r="S69" i="13" s="1"/>
  <c r="S71" i="13" s="1"/>
  <c r="S64" i="13"/>
  <c r="T62" i="13" s="1"/>
  <c r="T102" i="12"/>
  <c r="T63" i="12"/>
  <c r="T52" i="11"/>
  <c r="S91" i="11"/>
  <c r="S92" i="11" s="1"/>
  <c r="S93" i="11" s="1"/>
  <c r="S95" i="11" s="1"/>
  <c r="T68" i="13" l="1"/>
  <c r="S107" i="13"/>
  <c r="S108" i="13" s="1"/>
  <c r="S110" i="13" s="1"/>
  <c r="S112" i="13"/>
  <c r="T101" i="12"/>
  <c r="T103" i="12" s="1"/>
  <c r="T67" i="12"/>
  <c r="T69" i="12" s="1"/>
  <c r="T71" i="12" s="1"/>
  <c r="T64" i="12"/>
  <c r="U62" i="12" s="1"/>
  <c r="T86" i="11"/>
  <c r="T47" i="11"/>
  <c r="T102" i="13" l="1"/>
  <c r="T63" i="13"/>
  <c r="U68" i="12"/>
  <c r="T107" i="12"/>
  <c r="T108" i="12" s="1"/>
  <c r="T109" i="12" s="1"/>
  <c r="T111" i="12" s="1"/>
  <c r="T85" i="11"/>
  <c r="T87" i="11" s="1"/>
  <c r="T51" i="11"/>
  <c r="T53" i="11" s="1"/>
  <c r="T55" i="11" s="1"/>
  <c r="T48" i="11"/>
  <c r="U46" i="11" s="1"/>
  <c r="T101" i="13" l="1"/>
  <c r="T103" i="13" s="1"/>
  <c r="T67" i="13"/>
  <c r="T69" i="13" s="1"/>
  <c r="T71" i="13" s="1"/>
  <c r="T64" i="13"/>
  <c r="U62" i="13" s="1"/>
  <c r="U102" i="12"/>
  <c r="U63" i="12"/>
  <c r="U52" i="11"/>
  <c r="T91" i="11"/>
  <c r="T92" i="11" s="1"/>
  <c r="T93" i="11" s="1"/>
  <c r="T95" i="11" s="1"/>
  <c r="U68" i="13" l="1"/>
  <c r="T107" i="13"/>
  <c r="T108" i="13" s="1"/>
  <c r="T110" i="13" s="1"/>
  <c r="T112" i="13" s="1"/>
  <c r="U101" i="12"/>
  <c r="U103" i="12" s="1"/>
  <c r="U67" i="12"/>
  <c r="U69" i="12" s="1"/>
  <c r="U71" i="12" s="1"/>
  <c r="U64" i="12"/>
  <c r="V62" i="12" s="1"/>
  <c r="U86" i="11"/>
  <c r="U47" i="11"/>
  <c r="U102" i="13" l="1"/>
  <c r="U63" i="13"/>
  <c r="V68" i="12"/>
  <c r="U107" i="12"/>
  <c r="U108" i="12" s="1"/>
  <c r="U109" i="12" s="1"/>
  <c r="U111" i="12" s="1"/>
  <c r="U85" i="11"/>
  <c r="U87" i="11" s="1"/>
  <c r="U51" i="11"/>
  <c r="U53" i="11" s="1"/>
  <c r="U55" i="11" s="1"/>
  <c r="U48" i="11"/>
  <c r="V46" i="11" s="1"/>
  <c r="U101" i="13" l="1"/>
  <c r="U103" i="13" s="1"/>
  <c r="U67" i="13"/>
  <c r="U69" i="13" s="1"/>
  <c r="U71" i="13" s="1"/>
  <c r="U64" i="13"/>
  <c r="V62" i="13" s="1"/>
  <c r="V102" i="12"/>
  <c r="V63" i="12"/>
  <c r="V52" i="11"/>
  <c r="U91" i="11"/>
  <c r="U92" i="11" s="1"/>
  <c r="U93" i="11" s="1"/>
  <c r="U95" i="11" s="1"/>
  <c r="V68" i="13" l="1"/>
  <c r="U107" i="13"/>
  <c r="U108" i="13" s="1"/>
  <c r="U110" i="13" s="1"/>
  <c r="U112" i="13" s="1"/>
  <c r="V101" i="12"/>
  <c r="V103" i="12" s="1"/>
  <c r="V67" i="12"/>
  <c r="V69" i="12" s="1"/>
  <c r="V71" i="12" s="1"/>
  <c r="V64" i="12"/>
  <c r="W62" i="12" s="1"/>
  <c r="V86" i="11"/>
  <c r="V47" i="11"/>
  <c r="V102" i="13" l="1"/>
  <c r="V63" i="13"/>
  <c r="W68" i="12"/>
  <c r="V107" i="12"/>
  <c r="V108" i="12" s="1"/>
  <c r="V109" i="12" s="1"/>
  <c r="V111" i="12" s="1"/>
  <c r="V85" i="11"/>
  <c r="V87" i="11" s="1"/>
  <c r="V51" i="11"/>
  <c r="V53" i="11" s="1"/>
  <c r="V55" i="11" s="1"/>
  <c r="V48" i="11"/>
  <c r="W46" i="11" s="1"/>
  <c r="V101" i="13" l="1"/>
  <c r="V103" i="13" s="1"/>
  <c r="V67" i="13"/>
  <c r="V69" i="13" s="1"/>
  <c r="V71" i="13" s="1"/>
  <c r="V64" i="13"/>
  <c r="W62" i="13" s="1"/>
  <c r="W102" i="12"/>
  <c r="W63" i="12"/>
  <c r="W52" i="11"/>
  <c r="V91" i="11"/>
  <c r="V92" i="11" s="1"/>
  <c r="V93" i="11" s="1"/>
  <c r="V95" i="11" s="1"/>
  <c r="W68" i="13" l="1"/>
  <c r="V107" i="13"/>
  <c r="V108" i="13" s="1"/>
  <c r="V110" i="13" s="1"/>
  <c r="V112" i="13"/>
  <c r="W101" i="12"/>
  <c r="W103" i="12" s="1"/>
  <c r="W67" i="12"/>
  <c r="W69" i="12" s="1"/>
  <c r="W71" i="12" s="1"/>
  <c r="W64" i="12"/>
  <c r="X62" i="12" s="1"/>
  <c r="W86" i="11"/>
  <c r="W47" i="11"/>
  <c r="W102" i="13" l="1"/>
  <c r="W63" i="13"/>
  <c r="X68" i="12"/>
  <c r="W107" i="12"/>
  <c r="W108" i="12" s="1"/>
  <c r="W109" i="12" s="1"/>
  <c r="W111" i="12" s="1"/>
  <c r="W85" i="11"/>
  <c r="W87" i="11" s="1"/>
  <c r="W51" i="11"/>
  <c r="W53" i="11" s="1"/>
  <c r="W55" i="11" s="1"/>
  <c r="W48" i="11"/>
  <c r="X46" i="11" s="1"/>
  <c r="W101" i="13" l="1"/>
  <c r="W103" i="13" s="1"/>
  <c r="W67" i="13"/>
  <c r="W69" i="13" s="1"/>
  <c r="W71" i="13" s="1"/>
  <c r="W64" i="13"/>
  <c r="X62" i="13" s="1"/>
  <c r="X102" i="12"/>
  <c r="X63" i="12"/>
  <c r="X52" i="11"/>
  <c r="W91" i="11"/>
  <c r="W92" i="11" s="1"/>
  <c r="W93" i="11" s="1"/>
  <c r="W95" i="11"/>
  <c r="X68" i="13" l="1"/>
  <c r="W107" i="13"/>
  <c r="W108" i="13" s="1"/>
  <c r="W110" i="13" s="1"/>
  <c r="W112" i="13" s="1"/>
  <c r="X101" i="12"/>
  <c r="X103" i="12" s="1"/>
  <c r="X67" i="12"/>
  <c r="X69" i="12" s="1"/>
  <c r="X71" i="12" s="1"/>
  <c r="X64" i="12"/>
  <c r="Y62" i="12" s="1"/>
  <c r="X86" i="11"/>
  <c r="X47" i="11"/>
  <c r="X102" i="13" l="1"/>
  <c r="X63" i="13"/>
  <c r="Y68" i="12"/>
  <c r="X107" i="12"/>
  <c r="X108" i="12" s="1"/>
  <c r="X109" i="12" s="1"/>
  <c r="X111" i="12" s="1"/>
  <c r="X85" i="11"/>
  <c r="X87" i="11" s="1"/>
  <c r="X51" i="11"/>
  <c r="X53" i="11" s="1"/>
  <c r="X55" i="11" s="1"/>
  <c r="X48" i="11"/>
  <c r="Y46" i="11" s="1"/>
  <c r="X101" i="13" l="1"/>
  <c r="X103" i="13" s="1"/>
  <c r="X67" i="13"/>
  <c r="X69" i="13" s="1"/>
  <c r="X71" i="13" s="1"/>
  <c r="X64" i="13"/>
  <c r="Y62" i="13" s="1"/>
  <c r="Y102" i="12"/>
  <c r="Y63" i="12"/>
  <c r="Y52" i="11"/>
  <c r="X91" i="11"/>
  <c r="X92" i="11" s="1"/>
  <c r="X93" i="11" s="1"/>
  <c r="X95" i="11" s="1"/>
  <c r="Y68" i="13" l="1"/>
  <c r="X107" i="13"/>
  <c r="X108" i="13" s="1"/>
  <c r="X110" i="13" s="1"/>
  <c r="X112" i="13" s="1"/>
  <c r="Y101" i="12"/>
  <c r="Y103" i="12" s="1"/>
  <c r="Y67" i="12"/>
  <c r="Y69" i="12" s="1"/>
  <c r="Y71" i="12" s="1"/>
  <c r="Y64" i="12"/>
  <c r="Z62" i="12" s="1"/>
  <c r="Y86" i="11"/>
  <c r="Y47" i="11"/>
  <c r="Y102" i="13" l="1"/>
  <c r="Y63" i="13"/>
  <c r="Z68" i="12"/>
  <c r="Y107" i="12"/>
  <c r="Y108" i="12" s="1"/>
  <c r="Y109" i="12" s="1"/>
  <c r="Y111" i="12"/>
  <c r="Y85" i="11"/>
  <c r="Y87" i="11" s="1"/>
  <c r="Y51" i="11"/>
  <c r="Y53" i="11" s="1"/>
  <c r="Y55" i="11" s="1"/>
  <c r="Y48" i="11"/>
  <c r="Z46" i="11" s="1"/>
  <c r="Y101" i="13" l="1"/>
  <c r="Y103" i="13" s="1"/>
  <c r="Y67" i="13"/>
  <c r="Y69" i="13" s="1"/>
  <c r="Y71" i="13" s="1"/>
  <c r="Y64" i="13"/>
  <c r="Z62" i="13" s="1"/>
  <c r="Z102" i="12"/>
  <c r="Z63" i="12"/>
  <c r="Z52" i="11"/>
  <c r="Y91" i="11"/>
  <c r="Y92" i="11" s="1"/>
  <c r="Y93" i="11" s="1"/>
  <c r="Y95" i="11"/>
  <c r="Z68" i="13" l="1"/>
  <c r="Y107" i="13"/>
  <c r="Y108" i="13" s="1"/>
  <c r="Y110" i="13" s="1"/>
  <c r="Y112" i="13" s="1"/>
  <c r="Z101" i="12"/>
  <c r="Z103" i="12" s="1"/>
  <c r="Z67" i="12"/>
  <c r="Z69" i="12" s="1"/>
  <c r="Z71" i="12" s="1"/>
  <c r="Z64" i="12"/>
  <c r="AA62" i="12" s="1"/>
  <c r="Z86" i="11"/>
  <c r="Z47" i="11"/>
  <c r="Z102" i="13" l="1"/>
  <c r="Z63" i="13"/>
  <c r="AA68" i="12"/>
  <c r="Z107" i="12"/>
  <c r="Z108" i="12" s="1"/>
  <c r="Z109" i="12" s="1"/>
  <c r="Z111" i="12"/>
  <c r="Z85" i="11"/>
  <c r="Z87" i="11" s="1"/>
  <c r="Z51" i="11"/>
  <c r="Z53" i="11" s="1"/>
  <c r="Z55" i="11" s="1"/>
  <c r="Z48" i="11"/>
  <c r="AA46" i="11" s="1"/>
  <c r="Z101" i="13" l="1"/>
  <c r="Z103" i="13" s="1"/>
  <c r="Z67" i="13"/>
  <c r="Z69" i="13" s="1"/>
  <c r="Z71" i="13" s="1"/>
  <c r="Z64" i="13"/>
  <c r="AA62" i="13" s="1"/>
  <c r="AA102" i="12"/>
  <c r="AA63" i="12"/>
  <c r="AA52" i="11"/>
  <c r="Z91" i="11"/>
  <c r="Z92" i="11" s="1"/>
  <c r="Z93" i="11" s="1"/>
  <c r="Z95" i="11" s="1"/>
  <c r="AA68" i="13" l="1"/>
  <c r="Z107" i="13"/>
  <c r="Z108" i="13" s="1"/>
  <c r="Z110" i="13" s="1"/>
  <c r="Z112" i="13" s="1"/>
  <c r="AA101" i="12"/>
  <c r="AA103" i="12" s="1"/>
  <c r="AA67" i="12"/>
  <c r="AA69" i="12" s="1"/>
  <c r="AA71" i="12" s="1"/>
  <c r="AA64" i="12"/>
  <c r="AB62" i="12" s="1"/>
  <c r="AA86" i="11"/>
  <c r="AA47" i="11"/>
  <c r="AA102" i="13" l="1"/>
  <c r="AA63" i="13"/>
  <c r="AA107" i="12"/>
  <c r="AA108" i="12" s="1"/>
  <c r="AA109" i="12" s="1"/>
  <c r="AA111" i="12" s="1"/>
  <c r="AB68" i="12"/>
  <c r="AA85" i="11"/>
  <c r="AA87" i="11" s="1"/>
  <c r="AA51" i="11"/>
  <c r="AA53" i="11" s="1"/>
  <c r="AA55" i="11" s="1"/>
  <c r="AA48" i="11"/>
  <c r="AB46" i="11" s="1"/>
  <c r="AA67" i="13" l="1"/>
  <c r="AA69" i="13" s="1"/>
  <c r="AA71" i="13" s="1"/>
  <c r="AA101" i="13"/>
  <c r="AA103" i="13" s="1"/>
  <c r="AA64" i="13"/>
  <c r="AB62" i="13" s="1"/>
  <c r="AB102" i="12"/>
  <c r="AB63" i="12"/>
  <c r="AB52" i="11"/>
  <c r="AA91" i="11"/>
  <c r="AA92" i="11" s="1"/>
  <c r="AA93" i="11" s="1"/>
  <c r="AA95" i="11" s="1"/>
  <c r="AB68" i="13" l="1"/>
  <c r="AA107" i="13"/>
  <c r="AA108" i="13" s="1"/>
  <c r="AA110" i="13" s="1"/>
  <c r="AA112" i="13"/>
  <c r="AB101" i="12"/>
  <c r="AB103" i="12" s="1"/>
  <c r="AB67" i="12"/>
  <c r="AB69" i="12" s="1"/>
  <c r="AB71" i="12" s="1"/>
  <c r="AB64" i="12"/>
  <c r="AC62" i="12" s="1"/>
  <c r="AB86" i="11"/>
  <c r="AB47" i="11"/>
  <c r="AB102" i="13" l="1"/>
  <c r="AB63" i="13"/>
  <c r="AC68" i="12"/>
  <c r="AB107" i="12"/>
  <c r="AB108" i="12" s="1"/>
  <c r="AB109" i="12" s="1"/>
  <c r="AB111" i="12"/>
  <c r="AB85" i="11"/>
  <c r="AB87" i="11" s="1"/>
  <c r="AB51" i="11"/>
  <c r="AB53" i="11" s="1"/>
  <c r="AB55" i="11" s="1"/>
  <c r="AB48" i="11"/>
  <c r="AC46" i="11" s="1"/>
  <c r="AB101" i="13" l="1"/>
  <c r="AB103" i="13" s="1"/>
  <c r="AB67" i="13"/>
  <c r="AB69" i="13" s="1"/>
  <c r="AB71" i="13" s="1"/>
  <c r="AB64" i="13"/>
  <c r="AC62" i="13" s="1"/>
  <c r="AC102" i="12"/>
  <c r="AC63" i="12"/>
  <c r="AC52" i="11"/>
  <c r="AB91" i="11"/>
  <c r="AB92" i="11" s="1"/>
  <c r="AB93" i="11" s="1"/>
  <c r="AB95" i="11"/>
  <c r="AC68" i="13" l="1"/>
  <c r="AB107" i="13"/>
  <c r="AB108" i="13" s="1"/>
  <c r="AB110" i="13" s="1"/>
  <c r="AB112" i="13" s="1"/>
  <c r="AC101" i="12"/>
  <c r="AC103" i="12" s="1"/>
  <c r="AC67" i="12"/>
  <c r="AC69" i="12" s="1"/>
  <c r="AC71" i="12" s="1"/>
  <c r="AC64" i="12"/>
  <c r="AD62" i="12" s="1"/>
  <c r="AC86" i="11"/>
  <c r="AC47" i="11"/>
  <c r="AC102" i="13" l="1"/>
  <c r="AC63" i="13"/>
  <c r="AD68" i="12"/>
  <c r="AC107" i="12"/>
  <c r="AC108" i="12" s="1"/>
  <c r="AC109" i="12" s="1"/>
  <c r="AC111" i="12"/>
  <c r="AC85" i="11"/>
  <c r="AC87" i="11" s="1"/>
  <c r="AC51" i="11"/>
  <c r="AC53" i="11" s="1"/>
  <c r="AC55" i="11" s="1"/>
  <c r="AC48" i="11"/>
  <c r="AD46" i="11" s="1"/>
  <c r="AC101" i="13" l="1"/>
  <c r="AC103" i="13" s="1"/>
  <c r="AC67" i="13"/>
  <c r="AC69" i="13" s="1"/>
  <c r="AC71" i="13" s="1"/>
  <c r="AC64" i="13"/>
  <c r="AD62" i="13" s="1"/>
  <c r="AD102" i="12"/>
  <c r="AD63" i="12"/>
  <c r="AD52" i="11"/>
  <c r="AC91" i="11"/>
  <c r="AC92" i="11" s="1"/>
  <c r="AC93" i="11" s="1"/>
  <c r="AC95" i="11"/>
  <c r="AD68" i="13" l="1"/>
  <c r="AC107" i="13"/>
  <c r="AC108" i="13" s="1"/>
  <c r="AC110" i="13" s="1"/>
  <c r="AC112" i="13"/>
  <c r="AD67" i="12"/>
  <c r="AD69" i="12" s="1"/>
  <c r="AD71" i="12" s="1"/>
  <c r="AD101" i="12"/>
  <c r="AD103" i="12" s="1"/>
  <c r="AD64" i="12"/>
  <c r="AE62" i="12" s="1"/>
  <c r="AD86" i="11"/>
  <c r="AD47" i="11"/>
  <c r="AD102" i="13" l="1"/>
  <c r="AD63" i="13"/>
  <c r="AE68" i="12"/>
  <c r="AD107" i="12"/>
  <c r="AD108" i="12" s="1"/>
  <c r="AD109" i="12" s="1"/>
  <c r="AD111" i="12" s="1"/>
  <c r="AD51" i="11"/>
  <c r="AD53" i="11" s="1"/>
  <c r="AD55" i="11" s="1"/>
  <c r="AD85" i="11"/>
  <c r="AD87" i="11" s="1"/>
  <c r="AD48" i="11"/>
  <c r="AE46" i="11" s="1"/>
  <c r="AD101" i="13" l="1"/>
  <c r="AD103" i="13" s="1"/>
  <c r="AD67" i="13"/>
  <c r="AD69" i="13" s="1"/>
  <c r="AD71" i="13" s="1"/>
  <c r="AD64" i="13"/>
  <c r="AE62" i="13" s="1"/>
  <c r="AE102" i="12"/>
  <c r="AE63" i="12"/>
  <c r="AE52" i="11"/>
  <c r="AD91" i="11"/>
  <c r="AD92" i="11" s="1"/>
  <c r="AD93" i="11" s="1"/>
  <c r="AD95" i="11" s="1"/>
  <c r="AE68" i="13" l="1"/>
  <c r="AD107" i="13"/>
  <c r="AD108" i="13" s="1"/>
  <c r="AD110" i="13" s="1"/>
  <c r="AD112" i="13"/>
  <c r="AE101" i="12"/>
  <c r="AE103" i="12" s="1"/>
  <c r="AE67" i="12"/>
  <c r="AE69" i="12" s="1"/>
  <c r="AE71" i="12" s="1"/>
  <c r="AE64" i="12"/>
  <c r="AF62" i="12" s="1"/>
  <c r="AE86" i="11"/>
  <c r="AE47" i="11"/>
  <c r="AE102" i="13" l="1"/>
  <c r="AE63" i="13"/>
  <c r="AF68" i="12"/>
  <c r="AE107" i="12"/>
  <c r="AE108" i="12" s="1"/>
  <c r="AE109" i="12" s="1"/>
  <c r="AE111" i="12" s="1"/>
  <c r="AE85" i="11"/>
  <c r="AE87" i="11" s="1"/>
  <c r="AE51" i="11"/>
  <c r="AE53" i="11" s="1"/>
  <c r="AE55" i="11" s="1"/>
  <c r="AE48" i="11"/>
  <c r="AF46" i="11" s="1"/>
  <c r="AE67" i="13" l="1"/>
  <c r="AE69" i="13" s="1"/>
  <c r="AE71" i="13" s="1"/>
  <c r="AE101" i="13"/>
  <c r="AE103" i="13" s="1"/>
  <c r="AE64" i="13"/>
  <c r="AF62" i="13" s="1"/>
  <c r="AF102" i="12"/>
  <c r="AF63" i="12"/>
  <c r="AF52" i="11"/>
  <c r="AE91" i="11"/>
  <c r="AE92" i="11" s="1"/>
  <c r="AE93" i="11" s="1"/>
  <c r="AE95" i="11" s="1"/>
  <c r="AF68" i="13" l="1"/>
  <c r="AE107" i="13"/>
  <c r="AE108" i="13" s="1"/>
  <c r="AE110" i="13" s="1"/>
  <c r="AE112" i="13"/>
  <c r="AF67" i="12"/>
  <c r="AF69" i="12" s="1"/>
  <c r="AF71" i="12" s="1"/>
  <c r="AF101" i="12"/>
  <c r="AF103" i="12" s="1"/>
  <c r="AF64" i="12"/>
  <c r="AG62" i="12" s="1"/>
  <c r="AF86" i="11"/>
  <c r="AF47" i="11"/>
  <c r="AF102" i="13" l="1"/>
  <c r="AF63" i="13"/>
  <c r="AG68" i="12"/>
  <c r="AF107" i="12"/>
  <c r="AF108" i="12" s="1"/>
  <c r="AF109" i="12" s="1"/>
  <c r="AF111" i="12" s="1"/>
  <c r="AF85" i="11"/>
  <c r="AF87" i="11" s="1"/>
  <c r="AF51" i="11"/>
  <c r="AF53" i="11" s="1"/>
  <c r="AF55" i="11" s="1"/>
  <c r="AF48" i="11"/>
  <c r="AG46" i="11" s="1"/>
  <c r="AF101" i="13" l="1"/>
  <c r="AF103" i="13" s="1"/>
  <c r="AF67" i="13"/>
  <c r="AF69" i="13" s="1"/>
  <c r="AF71" i="13" s="1"/>
  <c r="AF64" i="13"/>
  <c r="AG62" i="13" s="1"/>
  <c r="AG102" i="12"/>
  <c r="AG63" i="12"/>
  <c r="AG52" i="11"/>
  <c r="AF91" i="11"/>
  <c r="AF92" i="11" s="1"/>
  <c r="AF93" i="11" s="1"/>
  <c r="AF95" i="11" s="1"/>
  <c r="AG68" i="13" l="1"/>
  <c r="AF107" i="13"/>
  <c r="AF108" i="13" s="1"/>
  <c r="AF110" i="13" s="1"/>
  <c r="AF112" i="13" s="1"/>
  <c r="AG101" i="12"/>
  <c r="AG103" i="12" s="1"/>
  <c r="AG67" i="12"/>
  <c r="AG69" i="12" s="1"/>
  <c r="AG71" i="12" s="1"/>
  <c r="AG64" i="12"/>
  <c r="AH62" i="12" s="1"/>
  <c r="AG86" i="11"/>
  <c r="AG47" i="11"/>
  <c r="AG102" i="13" l="1"/>
  <c r="AG63" i="13"/>
  <c r="AH68" i="12"/>
  <c r="AG107" i="12"/>
  <c r="AG108" i="12" s="1"/>
  <c r="AG109" i="12" s="1"/>
  <c r="AG111" i="12" s="1"/>
  <c r="AG51" i="11"/>
  <c r="AG53" i="11" s="1"/>
  <c r="AG55" i="11" s="1"/>
  <c r="AG85" i="11"/>
  <c r="AG87" i="11" s="1"/>
  <c r="AG48" i="11"/>
  <c r="AH46" i="11" s="1"/>
  <c r="AG101" i="13" l="1"/>
  <c r="AG103" i="13" s="1"/>
  <c r="AG67" i="13"/>
  <c r="AG69" i="13" s="1"/>
  <c r="AG71" i="13" s="1"/>
  <c r="AG64" i="13"/>
  <c r="AH62" i="13" s="1"/>
  <c r="AH102" i="12"/>
  <c r="AH63" i="12"/>
  <c r="AH52" i="11"/>
  <c r="AG91" i="11"/>
  <c r="AG92" i="11" s="1"/>
  <c r="AG93" i="11" s="1"/>
  <c r="AG95" i="11" s="1"/>
  <c r="AH68" i="13" l="1"/>
  <c r="AG107" i="13"/>
  <c r="AG108" i="13" s="1"/>
  <c r="AG110" i="13" s="1"/>
  <c r="AG112" i="13" s="1"/>
  <c r="AH67" i="12"/>
  <c r="AH69" i="12" s="1"/>
  <c r="AH71" i="12" s="1"/>
  <c r="AH101" i="12"/>
  <c r="AH103" i="12" s="1"/>
  <c r="AH64" i="12"/>
  <c r="AI62" i="12" s="1"/>
  <c r="AH86" i="11"/>
  <c r="AH47" i="11"/>
  <c r="AH102" i="13" l="1"/>
  <c r="AH63" i="13"/>
  <c r="AI68" i="12"/>
  <c r="AH107" i="12"/>
  <c r="AH108" i="12" s="1"/>
  <c r="AH109" i="12" s="1"/>
  <c r="AH111" i="12" s="1"/>
  <c r="AH51" i="11"/>
  <c r="AH53" i="11" s="1"/>
  <c r="AH55" i="11" s="1"/>
  <c r="AH85" i="11"/>
  <c r="AH87" i="11" s="1"/>
  <c r="AH48" i="11"/>
  <c r="AI46" i="11" s="1"/>
  <c r="AH67" i="13" l="1"/>
  <c r="AH69" i="13" s="1"/>
  <c r="AH71" i="13" s="1"/>
  <c r="AH101" i="13"/>
  <c r="AH103" i="13" s="1"/>
  <c r="AH64" i="13"/>
  <c r="AI62" i="13" s="1"/>
  <c r="AI102" i="12"/>
  <c r="AI63" i="12"/>
  <c r="AI52" i="11"/>
  <c r="AH91" i="11"/>
  <c r="AH92" i="11" s="1"/>
  <c r="AH93" i="11" s="1"/>
  <c r="AH95" i="11"/>
  <c r="AI68" i="13" l="1"/>
  <c r="AH107" i="13"/>
  <c r="AH108" i="13" s="1"/>
  <c r="AH110" i="13" s="1"/>
  <c r="AH112" i="13"/>
  <c r="AI101" i="12"/>
  <c r="AI103" i="12" s="1"/>
  <c r="AI67" i="12"/>
  <c r="AI69" i="12" s="1"/>
  <c r="AI71" i="12" s="1"/>
  <c r="AI64" i="12"/>
  <c r="AJ62" i="12" s="1"/>
  <c r="AI86" i="11"/>
  <c r="AI47" i="11"/>
  <c r="AI102" i="13" l="1"/>
  <c r="AI63" i="13"/>
  <c r="AJ68" i="12"/>
  <c r="AI107" i="12"/>
  <c r="AI108" i="12" s="1"/>
  <c r="AI109" i="12" s="1"/>
  <c r="AI111" i="12" s="1"/>
  <c r="AI51" i="11"/>
  <c r="AI53" i="11" s="1"/>
  <c r="AI55" i="11" s="1"/>
  <c r="AI85" i="11"/>
  <c r="AI87" i="11" s="1"/>
  <c r="AI48" i="11"/>
  <c r="AJ46" i="11" s="1"/>
  <c r="AI101" i="13" l="1"/>
  <c r="AI103" i="13" s="1"/>
  <c r="AI67" i="13"/>
  <c r="AI69" i="13" s="1"/>
  <c r="AI71" i="13" s="1"/>
  <c r="AI64" i="13"/>
  <c r="AJ62" i="13" s="1"/>
  <c r="AJ102" i="12"/>
  <c r="AJ63" i="12"/>
  <c r="AJ52" i="11"/>
  <c r="AI91" i="11"/>
  <c r="AI92" i="11" s="1"/>
  <c r="AI93" i="11" s="1"/>
  <c r="AI95" i="11" s="1"/>
  <c r="AJ68" i="13" l="1"/>
  <c r="AI107" i="13"/>
  <c r="AI108" i="13" s="1"/>
  <c r="AI110" i="13" s="1"/>
  <c r="AI112" i="13"/>
  <c r="AJ101" i="12"/>
  <c r="AJ103" i="12" s="1"/>
  <c r="AJ67" i="12"/>
  <c r="AJ69" i="12" s="1"/>
  <c r="AJ71" i="12" s="1"/>
  <c r="AJ64" i="12"/>
  <c r="AK62" i="12" s="1"/>
  <c r="AJ86" i="11"/>
  <c r="AJ47" i="11"/>
  <c r="AJ102" i="13" l="1"/>
  <c r="AJ63" i="13"/>
  <c r="AK68" i="12"/>
  <c r="AJ107" i="12"/>
  <c r="AJ108" i="12" s="1"/>
  <c r="AJ109" i="12" s="1"/>
  <c r="AJ111" i="12"/>
  <c r="AJ85" i="11"/>
  <c r="AJ87" i="11" s="1"/>
  <c r="AJ51" i="11"/>
  <c r="AJ53" i="11" s="1"/>
  <c r="AJ55" i="11" s="1"/>
  <c r="AJ48" i="11"/>
  <c r="AK46" i="11" s="1"/>
  <c r="AJ101" i="13" l="1"/>
  <c r="AJ103" i="13" s="1"/>
  <c r="AJ67" i="13"/>
  <c r="AJ69" i="13" s="1"/>
  <c r="AJ71" i="13" s="1"/>
  <c r="AJ64" i="13"/>
  <c r="AK62" i="13" s="1"/>
  <c r="AK102" i="12"/>
  <c r="AK63" i="12"/>
  <c r="AK52" i="11"/>
  <c r="AJ91" i="11"/>
  <c r="AJ92" i="11" s="1"/>
  <c r="AJ93" i="11" s="1"/>
  <c r="AJ95" i="11"/>
  <c r="AK68" i="13" l="1"/>
  <c r="AJ107" i="13"/>
  <c r="AJ108" i="13" s="1"/>
  <c r="AJ110" i="13" s="1"/>
  <c r="AJ112" i="13" s="1"/>
  <c r="AK101" i="12"/>
  <c r="AK103" i="12" s="1"/>
  <c r="AK67" i="12"/>
  <c r="AK69" i="12" s="1"/>
  <c r="AK71" i="12" s="1"/>
  <c r="AK64" i="12"/>
  <c r="AL62" i="12" s="1"/>
  <c r="AK86" i="11"/>
  <c r="AK47" i="11"/>
  <c r="AK102" i="13" l="1"/>
  <c r="AK63" i="13"/>
  <c r="AL68" i="12"/>
  <c r="AK107" i="12"/>
  <c r="AK108" i="12" s="1"/>
  <c r="AK109" i="12" s="1"/>
  <c r="AK111" i="12" s="1"/>
  <c r="AK85" i="11"/>
  <c r="AK87" i="11" s="1"/>
  <c r="AK51" i="11"/>
  <c r="AK53" i="11" s="1"/>
  <c r="AK55" i="11" s="1"/>
  <c r="AK48" i="11"/>
  <c r="AL46" i="11" s="1"/>
  <c r="AK101" i="13" l="1"/>
  <c r="AK103" i="13" s="1"/>
  <c r="AK67" i="13"/>
  <c r="AK69" i="13" s="1"/>
  <c r="AK71" i="13" s="1"/>
  <c r="AK64" i="13"/>
  <c r="AL62" i="13" s="1"/>
  <c r="AL102" i="12"/>
  <c r="AL63" i="12"/>
  <c r="AL52" i="11"/>
  <c r="AK91" i="11"/>
  <c r="AK92" i="11" s="1"/>
  <c r="AK93" i="11" s="1"/>
  <c r="AK95" i="11"/>
  <c r="AL68" i="13" l="1"/>
  <c r="AK107" i="13"/>
  <c r="AK108" i="13" s="1"/>
  <c r="AK110" i="13" s="1"/>
  <c r="AK112" i="13"/>
  <c r="AL101" i="12"/>
  <c r="AL103" i="12" s="1"/>
  <c r="AL67" i="12"/>
  <c r="AL69" i="12" s="1"/>
  <c r="AL71" i="12" s="1"/>
  <c r="AL64" i="12"/>
  <c r="AM62" i="12" s="1"/>
  <c r="AL86" i="11"/>
  <c r="AL47" i="11"/>
  <c r="AL102" i="13" l="1"/>
  <c r="AL63" i="13"/>
  <c r="AM68" i="12"/>
  <c r="AL107" i="12"/>
  <c r="AL108" i="12" s="1"/>
  <c r="AL109" i="12" s="1"/>
  <c r="AL111" i="12"/>
  <c r="AL51" i="11"/>
  <c r="AL53" i="11" s="1"/>
  <c r="AL55" i="11" s="1"/>
  <c r="AL85" i="11"/>
  <c r="AL87" i="11" s="1"/>
  <c r="AL48" i="11"/>
  <c r="AM46" i="11" s="1"/>
  <c r="AL101" i="13" l="1"/>
  <c r="AL103" i="13" s="1"/>
  <c r="AL67" i="13"/>
  <c r="AL69" i="13" s="1"/>
  <c r="AL71" i="13" s="1"/>
  <c r="AL64" i="13"/>
  <c r="AM62" i="13" s="1"/>
  <c r="AM102" i="12"/>
  <c r="AM63" i="12"/>
  <c r="AM52" i="11"/>
  <c r="AL91" i="11"/>
  <c r="AL92" i="11" s="1"/>
  <c r="AL93" i="11" s="1"/>
  <c r="AL95" i="11" s="1"/>
  <c r="AM68" i="13" l="1"/>
  <c r="AL107" i="13"/>
  <c r="AL108" i="13" s="1"/>
  <c r="AL110" i="13" s="1"/>
  <c r="AL112" i="13" s="1"/>
  <c r="AM101" i="12"/>
  <c r="AM103" i="12" s="1"/>
  <c r="AM67" i="12"/>
  <c r="AM69" i="12" s="1"/>
  <c r="AM71" i="12" s="1"/>
  <c r="F71" i="12" s="1"/>
  <c r="AM64" i="12"/>
  <c r="AM86" i="11"/>
  <c r="AM47" i="11"/>
  <c r="AM102" i="13" l="1"/>
  <c r="AM63" i="13"/>
  <c r="AM107" i="12"/>
  <c r="AM108" i="12" s="1"/>
  <c r="AM109" i="12" s="1"/>
  <c r="AM111" i="12"/>
  <c r="F111" i="12" s="1"/>
  <c r="E111" i="12" s="1"/>
  <c r="AM85" i="11"/>
  <c r="AM87" i="11" s="1"/>
  <c r="AM51" i="11"/>
  <c r="AM53" i="11" s="1"/>
  <c r="AM55" i="11" s="1"/>
  <c r="F55" i="11" s="1"/>
  <c r="AM48" i="11"/>
  <c r="AM101" i="13" l="1"/>
  <c r="AM103" i="13" s="1"/>
  <c r="AM67" i="13"/>
  <c r="AM69" i="13" s="1"/>
  <c r="AM71" i="13" s="1"/>
  <c r="F71" i="13" s="1"/>
  <c r="AM64" i="13"/>
  <c r="G116" i="12"/>
  <c r="G117" i="12"/>
  <c r="AM91" i="11"/>
  <c r="AM92" i="11" s="1"/>
  <c r="AM93" i="11" s="1"/>
  <c r="AM95" i="11"/>
  <c r="F95" i="11" s="1"/>
  <c r="E95" i="11" s="1"/>
  <c r="AM107" i="13" l="1"/>
  <c r="AM108" i="13" s="1"/>
  <c r="AM110" i="13" s="1"/>
  <c r="G101" i="11"/>
  <c r="G100" i="11"/>
  <c r="G118" i="13" l="1"/>
  <c r="G117" i="13"/>
  <c r="AM112" i="13"/>
  <c r="F112" i="13" s="1"/>
  <c r="E112" i="13" s="1"/>
</calcChain>
</file>

<file path=xl/sharedStrings.xml><?xml version="1.0" encoding="utf-8"?>
<sst xmlns="http://schemas.openxmlformats.org/spreadsheetml/2006/main" count="407" uniqueCount="89">
  <si>
    <t>Inputs and Assumptions</t>
  </si>
  <si>
    <t>BBSY</t>
  </si>
  <si>
    <t>Debt Construction Margin</t>
  </si>
  <si>
    <t>Debt Operations Margin</t>
  </si>
  <si>
    <t>CPI</t>
  </si>
  <si>
    <t>Construction Index</t>
  </si>
  <si>
    <t>Population Growth</t>
  </si>
  <si>
    <t>EBITDA Margin</t>
  </si>
  <si>
    <t>Min DSCR</t>
  </si>
  <si>
    <t>Debt Level</t>
  </si>
  <si>
    <t>Required equity IRR</t>
  </si>
  <si>
    <t>Construction Cost</t>
  </si>
  <si>
    <t>S Curve</t>
  </si>
  <si>
    <t>AADT RiverCross</t>
  </si>
  <si>
    <t>Toll RiverCross</t>
  </si>
  <si>
    <t>Revenue, Expense and Capex Calculations</t>
  </si>
  <si>
    <t>Time Factors</t>
  </si>
  <si>
    <t>Construction Factor</t>
  </si>
  <si>
    <t>CPI Factor</t>
  </si>
  <si>
    <t>Toll (Population) Factor</t>
  </si>
  <si>
    <t>Escalated Capex</t>
  </si>
  <si>
    <t>$m</t>
  </si>
  <si>
    <t>Vehicle Trips</t>
  </si>
  <si>
    <t>million</t>
  </si>
  <si>
    <t>Toll Price</t>
  </si>
  <si>
    <t>$</t>
  </si>
  <si>
    <t>Toll Revenue</t>
  </si>
  <si>
    <t>Operating Expenses</t>
  </si>
  <si>
    <t>EBITDA (CFADS)</t>
  </si>
  <si>
    <t>Debt Sizing</t>
  </si>
  <si>
    <t>Maximum debt service</t>
  </si>
  <si>
    <t>Debt during operations</t>
  </si>
  <si>
    <t>Opening balance</t>
  </si>
  <si>
    <t>less: Principal repayment</t>
  </si>
  <si>
    <t>Closing balance</t>
  </si>
  <si>
    <t>Actual debt service</t>
  </si>
  <si>
    <t>Principal repayment</t>
  </si>
  <si>
    <t>Interest expense</t>
  </si>
  <si>
    <t>Actual DSCR</t>
  </si>
  <si>
    <t>Minimum</t>
  </si>
  <si>
    <t>Financing Schedule</t>
  </si>
  <si>
    <t>Debt financing</t>
  </si>
  <si>
    <t>add: Debt drawdown</t>
  </si>
  <si>
    <t>add: Capitalised interest</t>
  </si>
  <si>
    <t>Equity financing</t>
  </si>
  <si>
    <t>add: Equity drawdown</t>
  </si>
  <si>
    <t>Total financing</t>
  </si>
  <si>
    <t>Debt</t>
  </si>
  <si>
    <t>Equity</t>
  </si>
  <si>
    <t>Total</t>
  </si>
  <si>
    <t>Cash Waterfall</t>
  </si>
  <si>
    <t>Pre-financing (Project) cash flows</t>
  </si>
  <si>
    <t>Revenue</t>
  </si>
  <si>
    <t>less: Expenses</t>
  </si>
  <si>
    <t>less: Capex</t>
  </si>
  <si>
    <t xml:space="preserve">Total cash flow before financing </t>
  </si>
  <si>
    <t>Debt cash flows</t>
  </si>
  <si>
    <t>Debt drawdown</t>
  </si>
  <si>
    <t>less: Interest payment</t>
  </si>
  <si>
    <t>Total debt cash flows</t>
  </si>
  <si>
    <t>Equity cash flows</t>
  </si>
  <si>
    <t>Equity drawdown</t>
  </si>
  <si>
    <t>Cash available for dividend</t>
  </si>
  <si>
    <t>Dividend</t>
  </si>
  <si>
    <t>Total equity cash flows</t>
  </si>
  <si>
    <t>Check cash flows balance</t>
  </si>
  <si>
    <t>Outputs</t>
  </si>
  <si>
    <t>Project IRR</t>
  </si>
  <si>
    <t>Equity IRR</t>
  </si>
  <si>
    <t>Equity NPV @ 13%</t>
  </si>
  <si>
    <t>Gearing</t>
  </si>
  <si>
    <t>%</t>
  </si>
  <si>
    <t>AADT River Bridge</t>
  </si>
  <si>
    <t>AADT River Tunnel</t>
  </si>
  <si>
    <t>H4sIAAAAAAAEAM2QvU7DMBSF0wZEEDyEdyIrTVtKhywEBBIdilKxVFVxrCti1bGDf5DSx+gLgx2lMLAwcgffa0vnu8cnGARB8OnKd1+XQ3c8L5mh1a2UO7RqG9BowUpFVBujF1CaSZGlSTrGKU5wEqPccmMVZAKsUYTHaGlLzugTtCu5A5EJy/mp5xff2G2H3fZYXIBihLM9KTnkhFbw++VqJZsFfADvbneMGmfDaUPHPetdRbmsG6JARY9EVwXbQxAG0WFQtNpAjXPJOXQ6jR9AuA302O/frdtm2iPgdbRe96rCKCbeYlRrKhVn5U8GE//9vwRQzmZkSqfXo/l4AsnNfLOJhn3c52E/nPjhP1r15i6+ADyZLrUnAgAA</t>
  </si>
  <si>
    <t>Government Grant</t>
  </si>
  <si>
    <t>NPV of maximum debt service</t>
  </si>
  <si>
    <t>Toll River Bridge</t>
  </si>
  <si>
    <t>Toll River Tunnel</t>
  </si>
  <si>
    <t>Vehicle Trips RiverCross</t>
  </si>
  <si>
    <t>Toll Price RiverCross</t>
  </si>
  <si>
    <t>Toll Revenue RiverCross</t>
  </si>
  <si>
    <t>Vehicle Trips River Bridge</t>
  </si>
  <si>
    <t>Toll Price River Bridge</t>
  </si>
  <si>
    <t>Toll Revenue River Bridge</t>
  </si>
  <si>
    <t>Vehicle Trips River Tunnel</t>
  </si>
  <si>
    <t>Toll Price River Tunnel</t>
  </si>
  <si>
    <t>Toll Revenue River Tunnel</t>
  </si>
  <si>
    <t>Total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</si>
</sst>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0.0%"/>
    <numFmt numFmtId="166" formatCode="_-* #,##0_-;\-* #,##0_-;_-* &quot;-&quot;??_-;_-@_-"/>
    <numFmt numFmtId="167" formatCode="_)d\-mmm\-yy_);_)d\-mmm\-yy_);_)&quot;-&quot;_);_)@_)"/>
    <numFmt numFmtId="168" formatCode="_(#,##0.0_);\(#,##0.0\);_(&quot;-&quot;_);_)@_)"/>
    <numFmt numFmtId="169" formatCode="_(###0_);\(###0\);_(&quot;-&quot;_);_)@_)"/>
    <numFmt numFmtId="170" formatCode="_(#,##0.0%_);\(#,##0.0%\);_(&quot;-&quot;_);_)@_)"/>
    <numFmt numFmtId="171" formatCode="0.000"/>
    <numFmt numFmtId="172" formatCode="###0_);\(###0\);&quot;-  &quot;;&quot; &quot;@&quot; &quot;"/>
    <numFmt numFmtId="173" formatCode="#,##0.0000\ ;\(#,##0.0000\ \);&quot;-  &quot;;&quot; &quot;@&quot; &quot;"/>
    <numFmt numFmtId="174" formatCode="_-* #,##0.0000_-;\-* #,##0.00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 tint="0.24994659260841701"/>
      <name val="Calibri Light"/>
      <family val="2"/>
      <scheme val="major"/>
    </font>
    <font>
      <sz val="9"/>
      <color theme="0"/>
      <name val="Calibri Light"/>
      <family val="2"/>
      <scheme val="major"/>
    </font>
    <font>
      <b/>
      <sz val="9"/>
      <color theme="4" tint="-0.49995422223578601"/>
      <name val="Calibri Light"/>
      <family val="2"/>
      <scheme val="major"/>
    </font>
    <font>
      <b/>
      <sz val="9"/>
      <color theme="1" tint="0.24994659260841701"/>
      <name val="Calibri Light"/>
      <family val="2"/>
      <scheme val="major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5574816125979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542222357860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Fill="0" applyBorder="0">
      <alignment vertical="center"/>
    </xf>
    <xf numFmtId="0" fontId="3" fillId="7" borderId="0" applyBorder="0">
      <alignment vertical="center"/>
    </xf>
    <xf numFmtId="0" fontId="4" fillId="0" borderId="0" applyFill="0" applyBorder="0">
      <alignment vertical="center"/>
    </xf>
    <xf numFmtId="167" fontId="2" fillId="0" borderId="0" applyFill="0" applyBorder="0">
      <alignment vertical="center"/>
    </xf>
    <xf numFmtId="168" fontId="2" fillId="0" borderId="0" applyFill="0" applyBorder="0">
      <alignment vertical="center"/>
    </xf>
    <xf numFmtId="169" fontId="2" fillId="0" borderId="0" applyFill="0" applyBorder="0">
      <alignment vertical="center"/>
    </xf>
    <xf numFmtId="0" fontId="5" fillId="6" borderId="0" applyBorder="0">
      <alignment vertical="center"/>
    </xf>
    <xf numFmtId="0" fontId="6" fillId="8" borderId="2">
      <alignment vertical="center"/>
    </xf>
    <xf numFmtId="168" fontId="2" fillId="5" borderId="3">
      <alignment vertical="center"/>
      <protection locked="0"/>
    </xf>
    <xf numFmtId="0" fontId="1" fillId="0" borderId="0"/>
    <xf numFmtId="170" fontId="2" fillId="5" borderId="3">
      <alignment vertical="center"/>
      <protection locked="0"/>
    </xf>
    <xf numFmtId="0" fontId="4" fillId="0" borderId="0" applyFill="0" applyBorder="0">
      <alignment vertical="center"/>
    </xf>
    <xf numFmtId="0" fontId="7" fillId="0" borderId="0" applyFill="0" applyBorder="0">
      <alignment vertical="center"/>
    </xf>
    <xf numFmtId="0" fontId="2" fillId="0" borderId="0" applyFill="0" applyBorder="0">
      <alignment vertical="center"/>
    </xf>
    <xf numFmtId="0" fontId="3" fillId="7" borderId="0" applyBorder="0">
      <alignment vertical="center"/>
    </xf>
    <xf numFmtId="167" fontId="2" fillId="0" borderId="0" applyFill="0" applyBorder="0">
      <alignment vertical="center"/>
    </xf>
    <xf numFmtId="168" fontId="2" fillId="0" borderId="0" applyFill="0" applyBorder="0">
      <alignment vertical="center"/>
    </xf>
    <xf numFmtId="169" fontId="2" fillId="0" borderId="0" applyFill="0" applyBorder="0">
      <alignment vertical="center"/>
    </xf>
    <xf numFmtId="170" fontId="2" fillId="0" borderId="0" applyFill="0" applyBorder="0">
      <alignment vertical="center"/>
    </xf>
    <xf numFmtId="172" fontId="8" fillId="0" borderId="0" applyFont="0" applyFill="0" applyBorder="0" applyProtection="0">
      <alignment vertical="top"/>
    </xf>
    <xf numFmtId="173" fontId="8" fillId="0" borderId="0" applyFont="0" applyFill="0" applyBorder="0" applyProtection="0">
      <alignment vertical="top"/>
    </xf>
  </cellStyleXfs>
  <cellXfs count="35">
    <xf numFmtId="0" fontId="0" fillId="0" borderId="0" xfId="0"/>
    <xf numFmtId="165" fontId="0" fillId="0" borderId="0" xfId="2" applyNumberFormat="1" applyFont="1"/>
    <xf numFmtId="9" fontId="0" fillId="0" borderId="0" xfId="0" applyNumberFormat="1"/>
    <xf numFmtId="2" fontId="0" fillId="0" borderId="0" xfId="0" applyNumberFormat="1"/>
    <xf numFmtId="171" fontId="0" fillId="0" borderId="0" xfId="0" applyNumberFormat="1"/>
    <xf numFmtId="171" fontId="0" fillId="0" borderId="4" xfId="0" applyNumberFormat="1" applyBorder="1"/>
    <xf numFmtId="10" fontId="0" fillId="0" borderId="0" xfId="0" applyNumberFormat="1"/>
    <xf numFmtId="164" fontId="0" fillId="0" borderId="0" xfId="1" applyFont="1"/>
    <xf numFmtId="166" fontId="0" fillId="0" borderId="0" xfId="0" applyNumberFormat="1"/>
    <xf numFmtId="0" fontId="0" fillId="2" borderId="0" xfId="0" applyFill="1"/>
    <xf numFmtId="0" fontId="9" fillId="2" borderId="0" xfId="0" applyFont="1" applyFill="1" applyAlignment="1">
      <alignment horizontal="center"/>
    </xf>
    <xf numFmtId="0" fontId="9" fillId="4" borderId="0" xfId="0" applyFont="1" applyFill="1"/>
    <xf numFmtId="0" fontId="0" fillId="4" borderId="0" xfId="0" applyFill="1"/>
    <xf numFmtId="10" fontId="0" fillId="3" borderId="0" xfId="2" applyNumberFormat="1" applyFont="1" applyFill="1"/>
    <xf numFmtId="165" fontId="0" fillId="3" borderId="0" xfId="2" applyNumberFormat="1" applyFont="1" applyFill="1"/>
    <xf numFmtId="9" fontId="0" fillId="3" borderId="0" xfId="2" applyFont="1" applyFill="1"/>
    <xf numFmtId="165" fontId="0" fillId="0" borderId="0" xfId="2" applyNumberFormat="1" applyFont="1" applyFill="1"/>
    <xf numFmtId="0" fontId="0" fillId="3" borderId="0" xfId="0" applyFill="1"/>
    <xf numFmtId="166" fontId="0" fillId="3" borderId="0" xfId="1" applyNumberFormat="1" applyFont="1" applyFill="1"/>
    <xf numFmtId="2" fontId="0" fillId="3" borderId="0" xfId="0" applyNumberFormat="1" applyFill="1"/>
    <xf numFmtId="171" fontId="0" fillId="0" borderId="1" xfId="0" applyNumberFormat="1" applyBorder="1"/>
    <xf numFmtId="166" fontId="0" fillId="0" borderId="1" xfId="1" applyNumberFormat="1" applyFont="1" applyBorder="1"/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164" fontId="0" fillId="0" borderId="1" xfId="1" applyFont="1" applyBorder="1"/>
    <xf numFmtId="166" fontId="0" fillId="0" borderId="0" xfId="1" applyNumberFormat="1" applyFont="1"/>
    <xf numFmtId="166" fontId="0" fillId="0" borderId="0" xfId="1" applyNumberFormat="1" applyFont="1" applyBorder="1"/>
    <xf numFmtId="166" fontId="0" fillId="0" borderId="0" xfId="1" applyNumberFormat="1" applyFont="1" applyFill="1"/>
    <xf numFmtId="166" fontId="0" fillId="0" borderId="1" xfId="0" applyNumberFormat="1" applyBorder="1"/>
    <xf numFmtId="9" fontId="0" fillId="0" borderId="0" xfId="2" applyFont="1"/>
    <xf numFmtId="10" fontId="0" fillId="2" borderId="0" xfId="0" applyNumberFormat="1" applyFill="1"/>
    <xf numFmtId="166" fontId="0" fillId="2" borderId="0" xfId="0" applyNumberFormat="1" applyFill="1"/>
    <xf numFmtId="9" fontId="0" fillId="2" borderId="0" xfId="2" applyFont="1" applyFill="1"/>
    <xf numFmtId="166" fontId="0" fillId="3" borderId="1" xfId="0" applyNumberFormat="1" applyFill="1" applyBorder="1"/>
    <xf numFmtId="174" fontId="0" fillId="2" borderId="0" xfId="0" applyNumberFormat="1" applyFill="1"/>
  </cellXfs>
  <cellStyles count="24">
    <cellStyle name="Assumption Number." xfId="11" xr:uid="{43EB0AAA-5F48-4D67-81B9-5DA60402ECF4}"/>
    <cellStyle name="Assumption Percentage." xfId="13" xr:uid="{8E7BA2A3-F735-482A-9C83-4C302DF7CA77}"/>
    <cellStyle name="Comma" xfId="1" builtinId="3"/>
    <cellStyle name="Date." xfId="6" xr:uid="{70980CDA-8D35-4FED-BB3C-FB28327A855C}"/>
    <cellStyle name="Factor" xfId="23" xr:uid="{FE1668F0-501F-4D4F-B916-F070C8916633}"/>
    <cellStyle name="Heading 1." xfId="9" xr:uid="{8C972480-62B4-472B-83D8-36EA7FCD0B3A}"/>
    <cellStyle name="Heading 2." xfId="10" xr:uid="{520C8D40-071C-4993-B7FB-4526314199AE}"/>
    <cellStyle name="Heading 3." xfId="15" xr:uid="{95C57C93-4350-4EE6-B58A-4420CA9A7F3E}"/>
    <cellStyle name="Heading 4." xfId="5" xr:uid="{99D0D598-2372-4124-9FCC-BC6FE1802C69}"/>
    <cellStyle name="Normal" xfId="0" builtinId="0"/>
    <cellStyle name="Normal 2" xfId="3" xr:uid="{A7AABC45-C588-4C9E-B645-125591EFDD31}"/>
    <cellStyle name="Normal 4" xfId="12" xr:uid="{18AF554A-8940-4C27-9AED-F9FBE7818057}"/>
    <cellStyle name="Number." xfId="7" xr:uid="{9D0E137A-18BD-4C2B-AFFD-47C0740861E8}"/>
    <cellStyle name="Percent" xfId="2" builtinId="5"/>
    <cellStyle name="Percentage." xfId="21" xr:uid="{51C0F79F-49AC-4863-A3E7-B984E148CBBE}"/>
    <cellStyle name="Period Title." xfId="4" xr:uid="{2DD71227-5474-488C-B298-C28DDE8E16AF}"/>
    <cellStyle name="Presentation Date." xfId="18" xr:uid="{958BC075-A386-42F3-8DC7-4B7A416BBE3A}"/>
    <cellStyle name="Presentation Heading 4." xfId="14" xr:uid="{725E17FA-09C7-4FCB-935A-1FA14CC51D93}"/>
    <cellStyle name="Presentation Normal." xfId="16" xr:uid="{39111753-CDB5-4301-B611-D2E73D33F6C2}"/>
    <cellStyle name="Presentation Number." xfId="19" xr:uid="{9482DEF4-D29A-4211-9424-F66404359C9E}"/>
    <cellStyle name="Presentation Period Title." xfId="17" xr:uid="{05D1ACE0-9D82-41C2-9BE5-F2D388D3C973}"/>
    <cellStyle name="Presentation Year." xfId="20" xr:uid="{53A882D0-63B8-4C5B-A740-98C8F6D92A72}"/>
    <cellStyle name="Year" xfId="22" xr:uid="{88D5A82F-F012-4D45-84B8-3A8D60ECE1F9}"/>
    <cellStyle name="Year." xfId="8" xr:uid="{B330C1D4-62BD-4B4C-A7F8-6B7B65909A9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rewGiuliano\Documents\WORK\BMC-Project%20Beam%20Model%200.16%20v12.xlsb" TargetMode="External"/><Relationship Id="rId1" Type="http://schemas.openxmlformats.org/officeDocument/2006/relationships/externalLinkPath" Target="/Users/AndrewGiuliano/Documents/WORK/BMC-Project%20Beam%20Model%200.16%20v12.xlsb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amseli\Desktop\Models\RiverCross%20Solution.xlsm" TargetMode="External"/><Relationship Id="rId1" Type="http://schemas.openxmlformats.org/officeDocument/2006/relationships/externalLinkPath" Target="RiverCross%20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Instructions"/>
      <sheetName val="Db"/>
      <sheetName val="Monthly"/>
      <sheetName val="B"/>
      <sheetName val="Scenarios"/>
      <sheetName val="BHist"/>
      <sheetName val="BRevExp"/>
      <sheetName val="BBalances"/>
      <sheetName val="BAssets"/>
      <sheetName val="BFinTax"/>
      <sheetName val="BmFS"/>
      <sheetName val="BaFS"/>
      <sheetName val="B5Yr"/>
      <sheetName val="Model"/>
      <sheetName val="Z"/>
      <sheetName val="ZSub_Assump"/>
      <sheetName val="ZRev_subs"/>
      <sheetName val="ZDevice"/>
      <sheetName val="ZHist"/>
      <sheetName val="ZRevExp"/>
      <sheetName val="ZBalances"/>
      <sheetName val="ZAssets"/>
      <sheetName val="ZFinTax"/>
      <sheetName val="ZmFS"/>
      <sheetName val="ZaFS"/>
      <sheetName val="ZVal"/>
      <sheetName val="R"/>
      <sheetName val="z5Yr"/>
      <sheetName val="x"/>
      <sheetName val="Ent_Sum"/>
      <sheetName val="Other"/>
      <sheetName val="Dashboard"/>
      <sheetName val="Time"/>
      <sheetName val="Lookups"/>
      <sheetName val="Checks"/>
      <sheetName val="PB_CACHE"/>
    </sheetNames>
    <sheetDataSet>
      <sheetData sheetId="0">
        <row r="2">
          <cell r="B2" t="str">
            <v>Project Beam Model (50.0% Acquisition, 16.0% Debt) (2 Alerts Detected)</v>
          </cell>
        </row>
      </sheetData>
      <sheetData sheetId="1"/>
      <sheetData sheetId="2"/>
      <sheetData sheetId="3">
        <row r="16">
          <cell r="B16" t="str">
            <v>Consolidated Income Statement (AUD)</v>
          </cell>
        </row>
        <row r="148">
          <cell r="I148">
            <v>0</v>
          </cell>
        </row>
        <row r="150">
          <cell r="B150" t="str">
            <v>Consolidated Balance Sheet (AUD)</v>
          </cell>
        </row>
        <row r="325">
          <cell r="I325">
            <v>0</v>
          </cell>
        </row>
        <row r="327">
          <cell r="I327">
            <v>0</v>
          </cell>
        </row>
        <row r="329">
          <cell r="B329" t="str">
            <v>Consolidated Cash Flow Statement (AUD)</v>
          </cell>
        </row>
        <row r="564">
          <cell r="I564">
            <v>0</v>
          </cell>
        </row>
      </sheetData>
      <sheetData sheetId="4"/>
      <sheetData sheetId="5">
        <row r="7">
          <cell r="B7" t="str">
            <v>Scenarios</v>
          </cell>
        </row>
        <row r="27">
          <cell r="B27" t="str">
            <v>Acquisition</v>
          </cell>
        </row>
        <row r="29">
          <cell r="I29">
            <v>1</v>
          </cell>
        </row>
        <row r="41">
          <cell r="B41" t="str">
            <v>Beam Communications Revenue</v>
          </cell>
        </row>
        <row r="42">
          <cell r="I42">
            <v>0</v>
          </cell>
        </row>
        <row r="57">
          <cell r="B57" t="str">
            <v>Beam Communications Cost of Goods Sold</v>
          </cell>
        </row>
        <row r="58">
          <cell r="I58">
            <v>0</v>
          </cell>
        </row>
        <row r="73">
          <cell r="B73" t="str">
            <v>Beam Communications Operating Expenditure</v>
          </cell>
        </row>
        <row r="74">
          <cell r="I74">
            <v>0</v>
          </cell>
        </row>
        <row r="89">
          <cell r="B89" t="str">
            <v>Zoleo Revenue</v>
          </cell>
        </row>
        <row r="90">
          <cell r="I90">
            <v>0</v>
          </cell>
        </row>
        <row r="117">
          <cell r="B117" t="str">
            <v>Zoleo Cost of Goods Sold</v>
          </cell>
        </row>
        <row r="118">
          <cell r="I118">
            <v>0</v>
          </cell>
        </row>
        <row r="154">
          <cell r="B154" t="str">
            <v>Zoleo Operating Expenditure</v>
          </cell>
        </row>
        <row r="155">
          <cell r="I155">
            <v>0</v>
          </cell>
        </row>
      </sheetData>
      <sheetData sheetId="6">
        <row r="16">
          <cell r="B16" t="str">
            <v>Beam Communications Historical Income Statement</v>
          </cell>
        </row>
        <row r="96">
          <cell r="I96">
            <v>0</v>
          </cell>
        </row>
        <row r="98">
          <cell r="B98" t="str">
            <v>Beam Communications Historical Balance Sheet</v>
          </cell>
        </row>
        <row r="221">
          <cell r="I221">
            <v>0</v>
          </cell>
        </row>
      </sheetData>
      <sheetData sheetId="7">
        <row r="16">
          <cell r="B16" t="str">
            <v>Beam Communications Revenue</v>
          </cell>
        </row>
        <row r="51">
          <cell r="I51">
            <v>0</v>
          </cell>
        </row>
        <row r="52">
          <cell r="I52">
            <v>0</v>
          </cell>
        </row>
        <row r="54">
          <cell r="B54" t="str">
            <v>Zoleo EBITDA</v>
          </cell>
        </row>
        <row r="69">
          <cell r="I69">
            <v>0</v>
          </cell>
        </row>
        <row r="70">
          <cell r="I70">
            <v>1</v>
          </cell>
        </row>
        <row r="72">
          <cell r="B72" t="str">
            <v>Beam Communications Cost of Goods Sold</v>
          </cell>
        </row>
        <row r="107">
          <cell r="I107">
            <v>0</v>
          </cell>
        </row>
        <row r="108">
          <cell r="I108">
            <v>0</v>
          </cell>
        </row>
        <row r="110">
          <cell r="B110" t="str">
            <v>Beam Communications Operating Expenditure</v>
          </cell>
        </row>
        <row r="145">
          <cell r="I145">
            <v>0</v>
          </cell>
        </row>
        <row r="146">
          <cell r="I146">
            <v>0</v>
          </cell>
        </row>
        <row r="148">
          <cell r="B148" t="str">
            <v>Beam Communications Other Revenue</v>
          </cell>
        </row>
        <row r="170">
          <cell r="I170">
            <v>0</v>
          </cell>
        </row>
        <row r="171">
          <cell r="I171">
            <v>0</v>
          </cell>
        </row>
        <row r="173">
          <cell r="B173" t="str">
            <v>Beam Communications Other Expenses</v>
          </cell>
        </row>
        <row r="205">
          <cell r="I205">
            <v>0</v>
          </cell>
        </row>
        <row r="206">
          <cell r="I206">
            <v>1</v>
          </cell>
        </row>
      </sheetData>
      <sheetData sheetId="8">
        <row r="16">
          <cell r="B16" t="str">
            <v>Beam Communications Debtors</v>
          </cell>
        </row>
        <row r="38">
          <cell r="I38">
            <v>0</v>
          </cell>
        </row>
        <row r="40">
          <cell r="I40">
            <v>0</v>
          </cell>
        </row>
        <row r="42">
          <cell r="B42" t="str">
            <v>Beam Communications Inventory</v>
          </cell>
        </row>
        <row r="72">
          <cell r="I72">
            <v>0</v>
          </cell>
        </row>
        <row r="74">
          <cell r="I74">
            <v>1</v>
          </cell>
        </row>
        <row r="76">
          <cell r="B76" t="str">
            <v>Beam Communications Creditors</v>
          </cell>
        </row>
        <row r="106">
          <cell r="I106">
            <v>0</v>
          </cell>
        </row>
        <row r="108">
          <cell r="I108">
            <v>0</v>
          </cell>
        </row>
        <row r="110">
          <cell r="B110" t="str">
            <v>Beam Communications Inventory Payables</v>
          </cell>
        </row>
        <row r="165">
          <cell r="I165">
            <v>0</v>
          </cell>
        </row>
        <row r="169">
          <cell r="I169">
            <v>0</v>
          </cell>
        </row>
        <row r="171">
          <cell r="B171" t="str">
            <v>Beam Communications Other Current Assets</v>
          </cell>
        </row>
        <row r="213">
          <cell r="I213">
            <v>0</v>
          </cell>
        </row>
        <row r="215">
          <cell r="B215" t="str">
            <v>Beam Communications Other Non-Current Assets</v>
          </cell>
        </row>
        <row r="257">
          <cell r="I257">
            <v>0</v>
          </cell>
        </row>
        <row r="259">
          <cell r="B259" t="str">
            <v>Beam Communications Other Current Liabilities</v>
          </cell>
        </row>
        <row r="343">
          <cell r="I343">
            <v>0</v>
          </cell>
        </row>
        <row r="345">
          <cell r="B345" t="str">
            <v>Beam Communications Other Non-Current Liabilities</v>
          </cell>
        </row>
        <row r="394">
          <cell r="I394">
            <v>0</v>
          </cell>
        </row>
      </sheetData>
      <sheetData sheetId="9">
        <row r="16">
          <cell r="B16" t="str">
            <v>Beam Communications Capital Expenditure</v>
          </cell>
        </row>
        <row r="53">
          <cell r="I53">
            <v>0</v>
          </cell>
        </row>
        <row r="54">
          <cell r="I54">
            <v>0</v>
          </cell>
        </row>
        <row r="56">
          <cell r="B56" t="str">
            <v>Beam Communications Fixed Assets</v>
          </cell>
        </row>
        <row r="119">
          <cell r="I119">
            <v>0</v>
          </cell>
        </row>
        <row r="124">
          <cell r="I124">
            <v>0</v>
          </cell>
        </row>
        <row r="126">
          <cell r="B126" t="str">
            <v>Beam Communications Intangibles Capital Expenditure</v>
          </cell>
        </row>
        <row r="142">
          <cell r="I142">
            <v>0</v>
          </cell>
        </row>
        <row r="143">
          <cell r="I143">
            <v>0</v>
          </cell>
        </row>
        <row r="145">
          <cell r="B145" t="str">
            <v>Beam Communications Intangible Assets</v>
          </cell>
        </row>
        <row r="189">
          <cell r="I189">
            <v>0</v>
          </cell>
        </row>
        <row r="194">
          <cell r="I194">
            <v>0</v>
          </cell>
        </row>
      </sheetData>
      <sheetData sheetId="10">
        <row r="16">
          <cell r="B16" t="str">
            <v>Beam Communications Base Interest Rates</v>
          </cell>
        </row>
        <row r="20">
          <cell r="I20">
            <v>0</v>
          </cell>
        </row>
        <row r="22">
          <cell r="B22" t="str">
            <v>Beam Communications Interest on Cash</v>
          </cell>
        </row>
        <row r="38">
          <cell r="I38">
            <v>0</v>
          </cell>
        </row>
        <row r="40">
          <cell r="B40" t="str">
            <v>Debt</v>
          </cell>
        </row>
        <row r="62">
          <cell r="I62">
            <v>0</v>
          </cell>
        </row>
        <row r="64">
          <cell r="B64" t="str">
            <v>Acquisition Debt</v>
          </cell>
        </row>
        <row r="115">
          <cell r="I115">
            <v>0</v>
          </cell>
        </row>
        <row r="119">
          <cell r="I119">
            <v>0</v>
          </cell>
        </row>
        <row r="121">
          <cell r="B121" t="str">
            <v>Bank Loan</v>
          </cell>
        </row>
        <row r="164">
          <cell r="I164">
            <v>0</v>
          </cell>
        </row>
        <row r="168">
          <cell r="I168">
            <v>0</v>
          </cell>
        </row>
        <row r="170">
          <cell r="B170" t="str">
            <v>Loans</v>
          </cell>
        </row>
        <row r="213">
          <cell r="I213">
            <v>0</v>
          </cell>
        </row>
        <row r="217">
          <cell r="I217">
            <v>0</v>
          </cell>
        </row>
        <row r="219">
          <cell r="B219" t="str">
            <v>Beam Communications Capitalised Financing Costs</v>
          </cell>
        </row>
        <row r="264">
          <cell r="I264">
            <v>0</v>
          </cell>
        </row>
        <row r="269">
          <cell r="I269">
            <v>0</v>
          </cell>
        </row>
        <row r="271">
          <cell r="B271" t="str">
            <v>Beam Communications Ordinary Equity</v>
          </cell>
        </row>
        <row r="340">
          <cell r="I340">
            <v>0</v>
          </cell>
        </row>
        <row r="344">
          <cell r="I344">
            <v>0</v>
          </cell>
        </row>
        <row r="364">
          <cell r="B364" t="str">
            <v>Beam Communications Other Equity</v>
          </cell>
        </row>
        <row r="392">
          <cell r="I392">
            <v>0</v>
          </cell>
        </row>
        <row r="394">
          <cell r="B394" t="str">
            <v>Beam Communications Corporate Taxation</v>
          </cell>
        </row>
        <row r="620">
          <cell r="I620">
            <v>0</v>
          </cell>
        </row>
        <row r="627">
          <cell r="I627">
            <v>0</v>
          </cell>
        </row>
      </sheetData>
      <sheetData sheetId="11">
        <row r="16">
          <cell r="B16" t="str">
            <v>Beam Communications Income Statement</v>
          </cell>
        </row>
        <row r="121">
          <cell r="I121">
            <v>0</v>
          </cell>
        </row>
        <row r="123">
          <cell r="B123" t="str">
            <v>Beam Communications Profitability Ratios</v>
          </cell>
        </row>
        <row r="188">
          <cell r="B188" t="str">
            <v>Beam Communications Balance Sheet</v>
          </cell>
        </row>
        <row r="303">
          <cell r="I303">
            <v>0</v>
          </cell>
        </row>
        <row r="305">
          <cell r="I305">
            <v>0</v>
          </cell>
        </row>
        <row r="307">
          <cell r="B307" t="str">
            <v>Beam Communications Funding Ratios</v>
          </cell>
        </row>
        <row r="344">
          <cell r="B344" t="str">
            <v>Beam Communications Liquidity Ratios</v>
          </cell>
        </row>
        <row r="373">
          <cell r="B373" t="str">
            <v>Beam Communications Efficiency Ratios</v>
          </cell>
        </row>
        <row r="434">
          <cell r="B434" t="str">
            <v>Beam Communications Cash Flow Statement</v>
          </cell>
        </row>
        <row r="622">
          <cell r="I622">
            <v>0</v>
          </cell>
        </row>
        <row r="624">
          <cell r="B624" t="str">
            <v>Beam Communications Income Statement (AUD)</v>
          </cell>
        </row>
        <row r="745">
          <cell r="I745">
            <v>0</v>
          </cell>
        </row>
        <row r="747">
          <cell r="B747" t="str">
            <v>Beam Communications Balance Sheet (AUD)</v>
          </cell>
        </row>
        <row r="880">
          <cell r="I880">
            <v>0</v>
          </cell>
        </row>
        <row r="882">
          <cell r="I882">
            <v>0</v>
          </cell>
        </row>
        <row r="884">
          <cell r="B884" t="str">
            <v>Beam Communications Cash Flow Statement (AUD)</v>
          </cell>
        </row>
        <row r="1079">
          <cell r="I1079">
            <v>0</v>
          </cell>
        </row>
      </sheetData>
      <sheetData sheetId="12">
        <row r="11">
          <cell r="B11" t="str">
            <v>Beam Communications Annual Income Statement</v>
          </cell>
        </row>
        <row r="126">
          <cell r="I126">
            <v>0</v>
          </cell>
        </row>
        <row r="128">
          <cell r="B128" t="str">
            <v>Beam Communications Annual Balance Sheet</v>
          </cell>
        </row>
        <row r="252">
          <cell r="I252">
            <v>0</v>
          </cell>
        </row>
        <row r="254">
          <cell r="I254">
            <v>0</v>
          </cell>
        </row>
        <row r="256">
          <cell r="B256" t="str">
            <v>Beam Communications Annual Cash Flow Statement</v>
          </cell>
        </row>
        <row r="451">
          <cell r="I451">
            <v>0</v>
          </cell>
        </row>
      </sheetData>
      <sheetData sheetId="13">
        <row r="1">
          <cell r="B1" t="str">
            <v>Beam Communications - Annual Summary (AUD)</v>
          </cell>
        </row>
        <row r="277">
          <cell r="D277">
            <v>0</v>
          </cell>
        </row>
      </sheetData>
      <sheetData sheetId="14"/>
      <sheetData sheetId="15"/>
      <sheetData sheetId="16"/>
      <sheetData sheetId="17">
        <row r="373">
          <cell r="B373" t="str">
            <v>MDP</v>
          </cell>
        </row>
      </sheetData>
      <sheetData sheetId="18"/>
      <sheetData sheetId="19">
        <row r="16">
          <cell r="B16" t="str">
            <v>Zoleo Historical Income Statement</v>
          </cell>
        </row>
        <row r="101">
          <cell r="I101">
            <v>0</v>
          </cell>
        </row>
        <row r="103">
          <cell r="B103" t="str">
            <v>Zoleo Historical Balance Sheet</v>
          </cell>
        </row>
        <row r="207">
          <cell r="I207">
            <v>0</v>
          </cell>
        </row>
      </sheetData>
      <sheetData sheetId="20">
        <row r="16">
          <cell r="B16" t="str">
            <v>Zoleo Revenue</v>
          </cell>
        </row>
        <row r="71">
          <cell r="I71">
            <v>0</v>
          </cell>
        </row>
        <row r="72">
          <cell r="I72">
            <v>0</v>
          </cell>
        </row>
        <row r="74">
          <cell r="B74" t="str">
            <v>Zoleo Cost of Goods Sold</v>
          </cell>
        </row>
        <row r="144">
          <cell r="I144">
            <v>0</v>
          </cell>
        </row>
        <row r="145">
          <cell r="I145">
            <v>0</v>
          </cell>
        </row>
        <row r="147">
          <cell r="B147" t="str">
            <v>Zoleo Operating Expenditure</v>
          </cell>
        </row>
        <row r="192">
          <cell r="I192">
            <v>0</v>
          </cell>
        </row>
        <row r="193">
          <cell r="I193">
            <v>0</v>
          </cell>
        </row>
        <row r="195">
          <cell r="B195" t="str">
            <v>Zoleo Other Revenue</v>
          </cell>
        </row>
        <row r="217">
          <cell r="I217">
            <v>0</v>
          </cell>
        </row>
        <row r="218">
          <cell r="I218">
            <v>0</v>
          </cell>
        </row>
        <row r="220">
          <cell r="B220" t="str">
            <v>Zoleo Other Expenses</v>
          </cell>
        </row>
        <row r="242">
          <cell r="I242">
            <v>0</v>
          </cell>
        </row>
        <row r="243">
          <cell r="I243">
            <v>0</v>
          </cell>
        </row>
      </sheetData>
      <sheetData sheetId="21">
        <row r="16">
          <cell r="B16" t="str">
            <v>Zoleo Debtors</v>
          </cell>
        </row>
        <row r="78">
          <cell r="I78">
            <v>0</v>
          </cell>
        </row>
        <row r="82">
          <cell r="I82">
            <v>0</v>
          </cell>
        </row>
        <row r="84">
          <cell r="B84" t="str">
            <v>Zoleo Inventory</v>
          </cell>
        </row>
        <row r="144">
          <cell r="I144">
            <v>0</v>
          </cell>
        </row>
        <row r="148">
          <cell r="I148">
            <v>0</v>
          </cell>
        </row>
        <row r="150">
          <cell r="B150" t="str">
            <v>Zoleo Creditors</v>
          </cell>
        </row>
        <row r="221">
          <cell r="I221">
            <v>0</v>
          </cell>
        </row>
        <row r="225">
          <cell r="I225">
            <v>0</v>
          </cell>
        </row>
        <row r="227">
          <cell r="B227" t="str">
            <v>Zoleo Inventory Payables</v>
          </cell>
        </row>
        <row r="281">
          <cell r="I281">
            <v>0</v>
          </cell>
        </row>
        <row r="285">
          <cell r="I285">
            <v>0</v>
          </cell>
        </row>
        <row r="287">
          <cell r="B287" t="str">
            <v>Zoleo Other Current Assets</v>
          </cell>
        </row>
        <row r="315">
          <cell r="I315">
            <v>0</v>
          </cell>
        </row>
        <row r="317">
          <cell r="B317" t="str">
            <v>Zoleo Other Non-Current Assets</v>
          </cell>
        </row>
        <row r="345">
          <cell r="I345">
            <v>0</v>
          </cell>
        </row>
        <row r="347">
          <cell r="B347" t="str">
            <v>Zoleo Other Current Liabilities</v>
          </cell>
        </row>
        <row r="396">
          <cell r="I396">
            <v>0</v>
          </cell>
        </row>
        <row r="398">
          <cell r="B398" t="str">
            <v>Zoleo Other Non-Current Liabilities</v>
          </cell>
        </row>
        <row r="426">
          <cell r="I426">
            <v>0</v>
          </cell>
        </row>
      </sheetData>
      <sheetData sheetId="22">
        <row r="16">
          <cell r="B16" t="str">
            <v>Zoleo Capital Expenditure</v>
          </cell>
        </row>
        <row r="32">
          <cell r="I32">
            <v>0</v>
          </cell>
        </row>
        <row r="33">
          <cell r="I33">
            <v>0</v>
          </cell>
        </row>
        <row r="35">
          <cell r="B35" t="str">
            <v>Zoleo Fixed Assets</v>
          </cell>
        </row>
        <row r="78">
          <cell r="I78">
            <v>0</v>
          </cell>
        </row>
        <row r="83">
          <cell r="I83">
            <v>1</v>
          </cell>
        </row>
        <row r="85">
          <cell r="B85" t="str">
            <v>Zoleo Intangibles Capital Expenditure</v>
          </cell>
        </row>
        <row r="101">
          <cell r="I101">
            <v>0</v>
          </cell>
        </row>
        <row r="102">
          <cell r="I102">
            <v>0</v>
          </cell>
        </row>
        <row r="104">
          <cell r="B104" t="str">
            <v>Zoleo Intangible Assets</v>
          </cell>
        </row>
        <row r="147">
          <cell r="I147">
            <v>0</v>
          </cell>
        </row>
        <row r="152">
          <cell r="I152">
            <v>0</v>
          </cell>
        </row>
      </sheetData>
      <sheetData sheetId="23">
        <row r="16">
          <cell r="B16" t="str">
            <v>Zoleo Base Interest Rates</v>
          </cell>
        </row>
        <row r="20">
          <cell r="I20">
            <v>0</v>
          </cell>
        </row>
        <row r="22">
          <cell r="B22" t="str">
            <v>Zoleo Interest on Cash</v>
          </cell>
        </row>
        <row r="38">
          <cell r="I38">
            <v>0</v>
          </cell>
        </row>
        <row r="40">
          <cell r="B40" t="str">
            <v>Debt</v>
          </cell>
        </row>
        <row r="60">
          <cell r="I60">
            <v>0</v>
          </cell>
        </row>
        <row r="62">
          <cell r="B62" t="str">
            <v>Long-Term Liabilities</v>
          </cell>
        </row>
        <row r="105">
          <cell r="I105">
            <v>0</v>
          </cell>
        </row>
        <row r="109">
          <cell r="I109">
            <v>0</v>
          </cell>
        </row>
        <row r="111">
          <cell r="B111" t="str">
            <v>Zoleo Capitalised Financing Costs</v>
          </cell>
        </row>
        <row r="154">
          <cell r="I154">
            <v>0</v>
          </cell>
        </row>
        <row r="159">
          <cell r="I159">
            <v>0</v>
          </cell>
        </row>
        <row r="161">
          <cell r="B161" t="str">
            <v>Zoleo Ordinary Equity</v>
          </cell>
        </row>
        <row r="222">
          <cell r="I222">
            <v>0</v>
          </cell>
        </row>
        <row r="226">
          <cell r="I226">
            <v>0</v>
          </cell>
        </row>
        <row r="246">
          <cell r="B246" t="str">
            <v>Zoleo Other Equity</v>
          </cell>
        </row>
        <row r="274">
          <cell r="I274">
            <v>0</v>
          </cell>
        </row>
        <row r="276">
          <cell r="B276" t="str">
            <v>Zoleo Corporate Taxation</v>
          </cell>
        </row>
        <row r="502">
          <cell r="I502">
            <v>0</v>
          </cell>
        </row>
        <row r="509">
          <cell r="I509">
            <v>0</v>
          </cell>
        </row>
      </sheetData>
      <sheetData sheetId="24">
        <row r="16">
          <cell r="B16" t="str">
            <v>Zoleo Income Statement</v>
          </cell>
        </row>
        <row r="121">
          <cell r="I121">
            <v>0</v>
          </cell>
        </row>
        <row r="123">
          <cell r="B123" t="str">
            <v>Zoleo Profitability Ratios</v>
          </cell>
        </row>
        <row r="188">
          <cell r="B188" t="str">
            <v>Zoleo Balance Sheet</v>
          </cell>
        </row>
        <row r="282">
          <cell r="I282">
            <v>0</v>
          </cell>
        </row>
        <row r="284">
          <cell r="I284">
            <v>0</v>
          </cell>
        </row>
        <row r="286">
          <cell r="B286" t="str">
            <v>Zoleo Funding Ratios</v>
          </cell>
        </row>
        <row r="323">
          <cell r="B323" t="str">
            <v>Zoleo Liquidity Ratios</v>
          </cell>
        </row>
        <row r="353">
          <cell r="B353" t="str">
            <v>Zoleo Efficiency Ratios</v>
          </cell>
        </row>
        <row r="414">
          <cell r="B414" t="str">
            <v>Zoleo Cash Flow Statement</v>
          </cell>
        </row>
        <row r="597">
          <cell r="I597">
            <v>0</v>
          </cell>
        </row>
        <row r="599">
          <cell r="B599" t="str">
            <v>Zoleo Income Statement (AUD)</v>
          </cell>
        </row>
        <row r="720">
          <cell r="I720">
            <v>0</v>
          </cell>
        </row>
        <row r="722">
          <cell r="B722" t="str">
            <v>Zoleo Balance Sheet (AUD)</v>
          </cell>
        </row>
        <row r="834">
          <cell r="I834">
            <v>0</v>
          </cell>
        </row>
        <row r="836">
          <cell r="I836">
            <v>0</v>
          </cell>
        </row>
        <row r="838">
          <cell r="B838" t="str">
            <v>Zoleo Cash Flow Statement (AUD)</v>
          </cell>
        </row>
        <row r="1028">
          <cell r="I1028">
            <v>0</v>
          </cell>
        </row>
      </sheetData>
      <sheetData sheetId="25">
        <row r="11">
          <cell r="B11" t="str">
            <v>Zoleo Annual Income Statement</v>
          </cell>
        </row>
        <row r="126">
          <cell r="I126">
            <v>0</v>
          </cell>
        </row>
        <row r="130">
          <cell r="B130" t="str">
            <v>Zoleo Annual Balance Sheet</v>
          </cell>
        </row>
        <row r="233">
          <cell r="I233">
            <v>0</v>
          </cell>
        </row>
        <row r="235">
          <cell r="I235">
            <v>0</v>
          </cell>
        </row>
        <row r="237">
          <cell r="B237" t="str">
            <v>Zoleo Annual Cash Flow Statement</v>
          </cell>
        </row>
        <row r="427">
          <cell r="I427">
            <v>0</v>
          </cell>
        </row>
      </sheetData>
      <sheetData sheetId="26">
        <row r="16">
          <cell r="B16" t="str">
            <v>Zoleo Equity Valuation</v>
          </cell>
        </row>
        <row r="48">
          <cell r="I48">
            <v>0</v>
          </cell>
        </row>
      </sheetData>
      <sheetData sheetId="27"/>
      <sheetData sheetId="28">
        <row r="1">
          <cell r="B1" t="str">
            <v>Zoleo 5yr Summary</v>
          </cell>
        </row>
        <row r="293">
          <cell r="D293">
            <v>0</v>
          </cell>
        </row>
      </sheetData>
      <sheetData sheetId="29"/>
      <sheetData sheetId="30">
        <row r="4">
          <cell r="B4" t="str">
            <v>Entities Summary</v>
          </cell>
        </row>
        <row r="24">
          <cell r="H24">
            <v>0</v>
          </cell>
        </row>
      </sheetData>
      <sheetData sheetId="31">
        <row r="16">
          <cell r="B16" t="str">
            <v>Exchange Rates</v>
          </cell>
        </row>
        <row r="44">
          <cell r="I44">
            <v>0</v>
          </cell>
        </row>
        <row r="46">
          <cell r="B46" t="str">
            <v>Dashboard Template - Monthly Source Data</v>
          </cell>
        </row>
      </sheetData>
      <sheetData sheetId="32"/>
      <sheetData sheetId="33">
        <row r="9">
          <cell r="H9">
            <v>6</v>
          </cell>
        </row>
      </sheetData>
      <sheetData sheetId="34">
        <row r="44">
          <cell r="D44" t="str">
            <v>January</v>
          </cell>
        </row>
      </sheetData>
      <sheetData sheetId="35">
        <row r="4">
          <cell r="B4" t="str">
            <v>Error Checks</v>
          </cell>
        </row>
        <row r="96">
          <cell r="B96" t="str">
            <v>Sensitivity Checks</v>
          </cell>
        </row>
        <row r="112">
          <cell r="B112" t="str">
            <v>Alert Checks</v>
          </cell>
        </row>
      </sheetData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iverCross"/>
      <sheetName val="RiverCross + Bridge + Tunnel"/>
      <sheetName val="Government Grant"/>
    </sheetNames>
    <sheetDataSet>
      <sheetData sheetId="0">
        <row r="6">
          <cell r="F6">
            <v>3.5000000000000003E-2</v>
          </cell>
        </row>
        <row r="7">
          <cell r="F7">
            <v>2.5000000000000001E-2</v>
          </cell>
        </row>
      </sheetData>
      <sheetData sheetId="1">
        <row r="6">
          <cell r="F6">
            <v>3.5000000000000003E-2</v>
          </cell>
        </row>
        <row r="7">
          <cell r="F7">
            <v>2.5000000000000001E-2</v>
          </cell>
        </row>
      </sheetData>
      <sheetData sheetId="2">
        <row r="6">
          <cell r="F6">
            <v>3.5000000000000003E-2</v>
          </cell>
        </row>
        <row r="7">
          <cell r="F7">
            <v>2.5000000000000001E-2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AS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E72419"/>
      </a:accent1>
      <a:accent2>
        <a:srgbClr val="001C4E"/>
      </a:accent2>
      <a:accent3>
        <a:srgbClr val="A8C7FF"/>
      </a:accent3>
      <a:accent4>
        <a:srgbClr val="FAD3D1"/>
      </a:accent4>
      <a:accent5>
        <a:srgbClr val="73120D"/>
      </a:accent5>
      <a:accent6>
        <a:srgbClr val="001439"/>
      </a:accent6>
      <a:hlink>
        <a:srgbClr val="74120C"/>
      </a:hlink>
      <a:folHlink>
        <a:srgbClr val="74120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BD4-4F5D-4D60-B8BC-E141F6AE4BD8}">
  <dimension ref="A1"/>
  <sheetViews>
    <sheetView workbookViewId="0"/>
  </sheetViews>
  <sheetFormatPr defaultRowHeight="15" x14ac:dyDescent="0.25"/>
  <sheetData>
    <row r="1" spans="1:1" x14ac:dyDescent="0.25">
      <c r="A1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2322-F158-4212-A391-9C6732ED8998}">
  <dimension ref="B2:AP108"/>
  <sheetViews>
    <sheetView topLeftCell="A76" workbookViewId="0">
      <selection activeCell="I110" sqref="I110"/>
    </sheetView>
  </sheetViews>
  <sheetFormatPr defaultRowHeight="15" x14ac:dyDescent="0.25"/>
  <cols>
    <col min="1" max="3" width="2.7109375" customWidth="1"/>
    <col min="4" max="4" width="34.140625" bestFit="1" customWidth="1"/>
    <col min="5" max="5" width="9.28515625" customWidth="1"/>
    <col min="7" max="42" width="8.7109375" customWidth="1"/>
  </cols>
  <sheetData>
    <row r="2" spans="2:42" x14ac:dyDescent="0.25">
      <c r="B2" s="9"/>
      <c r="C2" s="9"/>
      <c r="D2" s="10"/>
      <c r="E2" s="9"/>
      <c r="F2" s="9"/>
      <c r="G2" s="9">
        <v>2025</v>
      </c>
      <c r="H2" s="9">
        <v>2026</v>
      </c>
      <c r="I2" s="9">
        <v>2027</v>
      </c>
      <c r="J2" s="9">
        <v>2028</v>
      </c>
      <c r="K2" s="9">
        <v>2029</v>
      </c>
      <c r="L2" s="9">
        <v>2030</v>
      </c>
      <c r="M2" s="9">
        <v>2031</v>
      </c>
      <c r="N2" s="9">
        <v>2032</v>
      </c>
      <c r="O2" s="9">
        <v>2033</v>
      </c>
      <c r="P2" s="9">
        <v>2034</v>
      </c>
      <c r="Q2" s="9">
        <v>2035</v>
      </c>
      <c r="R2" s="9">
        <v>2036</v>
      </c>
      <c r="S2" s="9">
        <v>2037</v>
      </c>
      <c r="T2" s="9">
        <v>2038</v>
      </c>
      <c r="U2" s="9">
        <v>2039</v>
      </c>
      <c r="V2" s="9">
        <v>2040</v>
      </c>
      <c r="W2" s="9">
        <v>2041</v>
      </c>
      <c r="X2" s="9">
        <v>2042</v>
      </c>
      <c r="Y2" s="9">
        <v>2043</v>
      </c>
      <c r="Z2" s="9">
        <v>2044</v>
      </c>
      <c r="AA2" s="9">
        <v>2045</v>
      </c>
      <c r="AB2" s="9">
        <v>2046</v>
      </c>
      <c r="AC2" s="9">
        <v>2047</v>
      </c>
      <c r="AD2" s="9">
        <v>2048</v>
      </c>
      <c r="AE2" s="9">
        <v>2049</v>
      </c>
      <c r="AF2" s="9">
        <v>2050</v>
      </c>
      <c r="AG2" s="9">
        <v>2051</v>
      </c>
      <c r="AH2" s="9">
        <v>2052</v>
      </c>
      <c r="AI2" s="9">
        <v>2053</v>
      </c>
      <c r="AJ2" s="9">
        <v>2054</v>
      </c>
      <c r="AK2" s="9">
        <v>2055</v>
      </c>
      <c r="AL2" s="9">
        <v>2056</v>
      </c>
      <c r="AM2" s="9">
        <v>2057</v>
      </c>
      <c r="AN2" s="9">
        <v>2058</v>
      </c>
      <c r="AO2" s="9">
        <v>2059</v>
      </c>
      <c r="AP2" s="9">
        <v>2060</v>
      </c>
    </row>
    <row r="4" spans="2:42" x14ac:dyDescent="0.25">
      <c r="B4" s="11" t="s">
        <v>0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</row>
    <row r="6" spans="2:42" x14ac:dyDescent="0.25">
      <c r="D6" t="s">
        <v>1</v>
      </c>
      <c r="F6" s="13">
        <v>3.5000000000000003E-2</v>
      </c>
    </row>
    <row r="7" spans="2:42" x14ac:dyDescent="0.25">
      <c r="D7" t="s">
        <v>2</v>
      </c>
      <c r="F7" s="13">
        <v>2.5000000000000001E-2</v>
      </c>
    </row>
    <row r="8" spans="2:42" x14ac:dyDescent="0.25">
      <c r="D8" t="s">
        <v>3</v>
      </c>
      <c r="F8" s="13">
        <v>1.7999999999999999E-2</v>
      </c>
    </row>
    <row r="9" spans="2:42" x14ac:dyDescent="0.25">
      <c r="D9" t="s">
        <v>4</v>
      </c>
      <c r="F9" s="14">
        <v>2.5000000000000001E-2</v>
      </c>
    </row>
    <row r="10" spans="2:42" x14ac:dyDescent="0.25">
      <c r="D10" t="s">
        <v>5</v>
      </c>
      <c r="F10" s="14">
        <v>0.04</v>
      </c>
    </row>
    <row r="11" spans="2:42" x14ac:dyDescent="0.25">
      <c r="D11" t="s">
        <v>6</v>
      </c>
      <c r="F11" s="14">
        <v>0.01</v>
      </c>
    </row>
    <row r="12" spans="2:42" x14ac:dyDescent="0.25">
      <c r="D12" t="s">
        <v>7</v>
      </c>
      <c r="F12" s="15">
        <v>0.8</v>
      </c>
    </row>
    <row r="13" spans="2:42" x14ac:dyDescent="0.25">
      <c r="F13" s="16"/>
    </row>
    <row r="14" spans="2:42" x14ac:dyDescent="0.25">
      <c r="D14" t="s">
        <v>8</v>
      </c>
      <c r="F14" s="17">
        <v>1.5</v>
      </c>
    </row>
    <row r="15" spans="2:42" x14ac:dyDescent="0.25">
      <c r="D15" t="s">
        <v>9</v>
      </c>
      <c r="F15" s="15">
        <v>0.75</v>
      </c>
    </row>
    <row r="16" spans="2:42" x14ac:dyDescent="0.25">
      <c r="D16" t="s">
        <v>10</v>
      </c>
      <c r="F16" s="15">
        <v>0.13</v>
      </c>
    </row>
    <row r="17" spans="2:42" x14ac:dyDescent="0.25">
      <c r="F17" s="1"/>
    </row>
    <row r="18" spans="2:42" x14ac:dyDescent="0.25">
      <c r="D18" t="s">
        <v>11</v>
      </c>
      <c r="E18" t="s">
        <v>21</v>
      </c>
      <c r="F18" s="18">
        <v>12000</v>
      </c>
    </row>
    <row r="19" spans="2:42" x14ac:dyDescent="0.25">
      <c r="D19" t="s">
        <v>12</v>
      </c>
      <c r="F19" s="2">
        <f>SUM(H19:L19)</f>
        <v>1</v>
      </c>
      <c r="H19" s="15">
        <v>0.16</v>
      </c>
      <c r="I19" s="15">
        <v>0.21</v>
      </c>
      <c r="J19" s="15">
        <v>0.26</v>
      </c>
      <c r="K19" s="15">
        <v>0.21</v>
      </c>
      <c r="L19" s="15">
        <v>0.16</v>
      </c>
    </row>
    <row r="20" spans="2:42" x14ac:dyDescent="0.25">
      <c r="F20" s="1"/>
    </row>
    <row r="21" spans="2:42" x14ac:dyDescent="0.25">
      <c r="D21" t="s">
        <v>13</v>
      </c>
      <c r="M21" s="18">
        <v>70000</v>
      </c>
    </row>
    <row r="22" spans="2:42" x14ac:dyDescent="0.25">
      <c r="D22" t="s">
        <v>14</v>
      </c>
      <c r="E22" t="s">
        <v>21</v>
      </c>
      <c r="H22" s="19">
        <v>7</v>
      </c>
    </row>
    <row r="23" spans="2:42" x14ac:dyDescent="0.25">
      <c r="F23" s="1"/>
    </row>
    <row r="24" spans="2:42" x14ac:dyDescent="0.25">
      <c r="B24" s="11" t="s">
        <v>15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</row>
    <row r="25" spans="2:42" x14ac:dyDescent="0.25">
      <c r="F25" s="1"/>
    </row>
    <row r="26" spans="2:42" x14ac:dyDescent="0.25">
      <c r="C26" t="s">
        <v>16</v>
      </c>
      <c r="F26" s="1"/>
    </row>
    <row r="27" spans="2:42" x14ac:dyDescent="0.25">
      <c r="D27" t="s">
        <v>17</v>
      </c>
      <c r="H27" s="20">
        <v>1</v>
      </c>
      <c r="I27" s="20">
        <f>H27*(1+$F$10)</f>
        <v>1.04</v>
      </c>
      <c r="J27" s="20">
        <f t="shared" ref="J27:L27" si="0">I27*(1+$F$10)</f>
        <v>1.0816000000000001</v>
      </c>
      <c r="K27" s="20">
        <f t="shared" si="0"/>
        <v>1.1248640000000001</v>
      </c>
      <c r="L27" s="20">
        <f t="shared" si="0"/>
        <v>1.1698585600000002</v>
      </c>
    </row>
    <row r="28" spans="2:42" x14ac:dyDescent="0.25">
      <c r="D28" t="s">
        <v>18</v>
      </c>
      <c r="H28" s="20">
        <v>1</v>
      </c>
      <c r="I28" s="20">
        <f t="shared" ref="I28:M28" si="1">H28*(1+$F$9)</f>
        <v>1.0249999999999999</v>
      </c>
      <c r="J28" s="20">
        <f t="shared" si="1"/>
        <v>1.0506249999999999</v>
      </c>
      <c r="K28" s="20">
        <f t="shared" si="1"/>
        <v>1.0768906249999999</v>
      </c>
      <c r="L28" s="20">
        <f t="shared" si="1"/>
        <v>1.1038128906249998</v>
      </c>
      <c r="M28" s="20">
        <f t="shared" si="1"/>
        <v>1.1314082128906247</v>
      </c>
      <c r="N28" s="20">
        <f>M28*(1+$F$9)</f>
        <v>1.1596934182128902</v>
      </c>
      <c r="O28" s="20">
        <f t="shared" ref="O28:AP28" si="2">N28*(1+$F$9)</f>
        <v>1.1886857536682123</v>
      </c>
      <c r="P28" s="20">
        <f t="shared" si="2"/>
        <v>1.2184028975099175</v>
      </c>
      <c r="Q28" s="20">
        <f t="shared" si="2"/>
        <v>1.2488629699476652</v>
      </c>
      <c r="R28" s="20">
        <f t="shared" si="2"/>
        <v>1.2800845441963566</v>
      </c>
      <c r="S28" s="20">
        <f t="shared" si="2"/>
        <v>1.3120866578012655</v>
      </c>
      <c r="T28" s="20">
        <f t="shared" si="2"/>
        <v>1.3448888242462971</v>
      </c>
      <c r="U28" s="20">
        <f t="shared" si="2"/>
        <v>1.3785110448524545</v>
      </c>
      <c r="V28" s="20">
        <f t="shared" si="2"/>
        <v>1.4129738209737657</v>
      </c>
      <c r="W28" s="20">
        <f t="shared" si="2"/>
        <v>1.4482981664981096</v>
      </c>
      <c r="X28" s="20">
        <f t="shared" si="2"/>
        <v>1.4845056206605622</v>
      </c>
      <c r="Y28" s="20">
        <f t="shared" si="2"/>
        <v>1.5216182611770761</v>
      </c>
      <c r="Z28" s="20">
        <f t="shared" si="2"/>
        <v>1.5596587177065029</v>
      </c>
      <c r="AA28" s="20">
        <f t="shared" si="2"/>
        <v>1.5986501856491653</v>
      </c>
      <c r="AB28" s="20">
        <f t="shared" si="2"/>
        <v>1.6386164402903942</v>
      </c>
      <c r="AC28" s="20">
        <f t="shared" si="2"/>
        <v>1.6795818512976539</v>
      </c>
      <c r="AD28" s="20">
        <f t="shared" si="2"/>
        <v>1.721571397580095</v>
      </c>
      <c r="AE28" s="20">
        <f t="shared" si="2"/>
        <v>1.7646106825195973</v>
      </c>
      <c r="AF28" s="20">
        <f t="shared" si="2"/>
        <v>1.8087259495825871</v>
      </c>
      <c r="AG28" s="20">
        <f t="shared" si="2"/>
        <v>1.8539440983221516</v>
      </c>
      <c r="AH28" s="20">
        <f t="shared" si="2"/>
        <v>1.9002927007802053</v>
      </c>
      <c r="AI28" s="20">
        <f t="shared" si="2"/>
        <v>1.9478000182997102</v>
      </c>
      <c r="AJ28" s="20">
        <f t="shared" si="2"/>
        <v>1.9964950187572028</v>
      </c>
      <c r="AK28" s="20">
        <f t="shared" si="2"/>
        <v>2.0464073942261325</v>
      </c>
      <c r="AL28" s="20">
        <f t="shared" si="2"/>
        <v>2.0975675790817858</v>
      </c>
      <c r="AM28" s="20">
        <f t="shared" si="2"/>
        <v>2.1500067685588302</v>
      </c>
      <c r="AN28" s="20">
        <f t="shared" si="2"/>
        <v>2.2037569377728006</v>
      </c>
      <c r="AO28" s="20">
        <f t="shared" si="2"/>
        <v>2.2588508612171205</v>
      </c>
      <c r="AP28" s="20">
        <f t="shared" si="2"/>
        <v>2.3153221327475482</v>
      </c>
    </row>
    <row r="29" spans="2:42" x14ac:dyDescent="0.25">
      <c r="D29" t="s">
        <v>19</v>
      </c>
      <c r="H29" s="4"/>
      <c r="I29" s="4"/>
      <c r="J29" s="4"/>
      <c r="K29" s="4"/>
      <c r="L29" s="4"/>
      <c r="M29" s="20">
        <v>1</v>
      </c>
      <c r="N29" s="20">
        <f>M29*(1+$F$11)</f>
        <v>1.01</v>
      </c>
      <c r="O29" s="20">
        <f t="shared" ref="O29:AP29" si="3">N29*(1+$F$11)</f>
        <v>1.0201</v>
      </c>
      <c r="P29" s="20">
        <f t="shared" si="3"/>
        <v>1.0303009999999999</v>
      </c>
      <c r="Q29" s="20">
        <f t="shared" si="3"/>
        <v>1.04060401</v>
      </c>
      <c r="R29" s="20">
        <f t="shared" si="3"/>
        <v>1.0510100500999999</v>
      </c>
      <c r="S29" s="20">
        <f t="shared" si="3"/>
        <v>1.0615201506009999</v>
      </c>
      <c r="T29" s="20">
        <f t="shared" si="3"/>
        <v>1.0721353521070098</v>
      </c>
      <c r="U29" s="20">
        <f t="shared" si="3"/>
        <v>1.08285670562808</v>
      </c>
      <c r="V29" s="20">
        <f t="shared" si="3"/>
        <v>1.0936852726843609</v>
      </c>
      <c r="W29" s="20">
        <f t="shared" si="3"/>
        <v>1.1046221254112045</v>
      </c>
      <c r="X29" s="20">
        <f t="shared" si="3"/>
        <v>1.1156683466653166</v>
      </c>
      <c r="Y29" s="20">
        <f t="shared" si="3"/>
        <v>1.1268250301319698</v>
      </c>
      <c r="Z29" s="20">
        <f t="shared" si="3"/>
        <v>1.1380932804332895</v>
      </c>
      <c r="AA29" s="20">
        <f t="shared" si="3"/>
        <v>1.1494742132376223</v>
      </c>
      <c r="AB29" s="20">
        <f t="shared" si="3"/>
        <v>1.1609689553699987</v>
      </c>
      <c r="AC29" s="20">
        <f t="shared" si="3"/>
        <v>1.1725786449236986</v>
      </c>
      <c r="AD29" s="20">
        <f t="shared" si="3"/>
        <v>1.1843044313729356</v>
      </c>
      <c r="AE29" s="20">
        <f t="shared" si="3"/>
        <v>1.196147475686665</v>
      </c>
      <c r="AF29" s="20">
        <f t="shared" si="3"/>
        <v>1.2081089504435316</v>
      </c>
      <c r="AG29" s="20">
        <f t="shared" si="3"/>
        <v>1.220190039947967</v>
      </c>
      <c r="AH29" s="20">
        <f t="shared" si="3"/>
        <v>1.2323919403474468</v>
      </c>
      <c r="AI29" s="20">
        <f t="shared" si="3"/>
        <v>1.2447158597509214</v>
      </c>
      <c r="AJ29" s="20">
        <f t="shared" si="3"/>
        <v>1.2571630183484306</v>
      </c>
      <c r="AK29" s="20">
        <f t="shared" si="3"/>
        <v>1.269734648531915</v>
      </c>
      <c r="AL29" s="20">
        <f t="shared" si="3"/>
        <v>1.282431995017234</v>
      </c>
      <c r="AM29" s="20">
        <f t="shared" si="3"/>
        <v>1.2952563149674063</v>
      </c>
      <c r="AN29" s="20">
        <f t="shared" si="3"/>
        <v>1.3082088781170804</v>
      </c>
      <c r="AO29" s="20">
        <f t="shared" si="3"/>
        <v>1.3212909668982513</v>
      </c>
      <c r="AP29" s="20">
        <f t="shared" si="3"/>
        <v>1.3345038765672339</v>
      </c>
    </row>
    <row r="31" spans="2:42" x14ac:dyDescent="0.25">
      <c r="C31" t="s">
        <v>20</v>
      </c>
      <c r="E31" t="s">
        <v>21</v>
      </c>
      <c r="H31" s="21">
        <f>$F$18*H19*H27</f>
        <v>1920</v>
      </c>
      <c r="I31" s="21">
        <f>$F$18*I19*I27</f>
        <v>2620.8000000000002</v>
      </c>
      <c r="J31" s="21">
        <f>$F$18*J19*J27</f>
        <v>3374.5920000000006</v>
      </c>
      <c r="K31" s="21">
        <f>$F$18*K19*K27</f>
        <v>2834.6572800000004</v>
      </c>
      <c r="L31" s="21">
        <f>$F$18*L19*L27</f>
        <v>2246.1284352000002</v>
      </c>
    </row>
    <row r="34" spans="2:42" x14ac:dyDescent="0.25">
      <c r="C34" t="s">
        <v>22</v>
      </c>
      <c r="E34" s="22" t="s">
        <v>23</v>
      </c>
      <c r="M34" s="7">
        <f>M29*$M$21*365/1000000</f>
        <v>25.55</v>
      </c>
      <c r="N34" s="7">
        <f>N29*$M$21*365/1000000</f>
        <v>25.805499999999999</v>
      </c>
      <c r="O34" s="7">
        <f>O29*$M$21*365/1000000</f>
        <v>26.063555000000001</v>
      </c>
      <c r="P34" s="7">
        <f>P29*$M$21*365/1000000</f>
        <v>26.324190549999997</v>
      </c>
      <c r="Q34" s="7">
        <f t="shared" ref="Q34:AP34" si="4">Q29*$M$21*365/1000000</f>
        <v>26.5874324555</v>
      </c>
      <c r="R34" s="7">
        <f t="shared" si="4"/>
        <v>26.853306780054996</v>
      </c>
      <c r="S34" s="7">
        <f t="shared" si="4"/>
        <v>27.121839847855547</v>
      </c>
      <c r="T34" s="7">
        <f t="shared" si="4"/>
        <v>27.393058246334103</v>
      </c>
      <c r="U34" s="7">
        <f t="shared" si="4"/>
        <v>27.666988828797443</v>
      </c>
      <c r="V34" s="7">
        <f t="shared" si="4"/>
        <v>27.94365871708542</v>
      </c>
      <c r="W34" s="7">
        <f t="shared" si="4"/>
        <v>28.223095304256276</v>
      </c>
      <c r="X34" s="7">
        <f t="shared" si="4"/>
        <v>28.505326257298833</v>
      </c>
      <c r="Y34" s="7">
        <f t="shared" si="4"/>
        <v>28.790379519871831</v>
      </c>
      <c r="Z34" s="7">
        <f t="shared" si="4"/>
        <v>29.078283315070543</v>
      </c>
      <c r="AA34" s="7">
        <f t="shared" si="4"/>
        <v>29.369066148221247</v>
      </c>
      <c r="AB34" s="7">
        <f t="shared" si="4"/>
        <v>29.662756809703467</v>
      </c>
      <c r="AC34" s="7">
        <f t="shared" si="4"/>
        <v>29.9593843778005</v>
      </c>
      <c r="AD34" s="7">
        <f t="shared" si="4"/>
        <v>30.258978221578506</v>
      </c>
      <c r="AE34" s="7">
        <f t="shared" si="4"/>
        <v>30.561568003794289</v>
      </c>
      <c r="AF34" s="7">
        <f t="shared" si="4"/>
        <v>30.867183683832231</v>
      </c>
      <c r="AG34" s="7">
        <f t="shared" si="4"/>
        <v>31.175855520670556</v>
      </c>
      <c r="AH34" s="7">
        <f t="shared" si="4"/>
        <v>31.487614075877268</v>
      </c>
      <c r="AI34" s="7">
        <f t="shared" si="4"/>
        <v>31.802490216636045</v>
      </c>
      <c r="AJ34" s="7">
        <f t="shared" si="4"/>
        <v>32.120515118802402</v>
      </c>
      <c r="AK34" s="7">
        <f t="shared" si="4"/>
        <v>32.441720269990427</v>
      </c>
      <c r="AL34" s="7">
        <f t="shared" si="4"/>
        <v>32.766137472690332</v>
      </c>
      <c r="AM34" s="7">
        <f t="shared" si="4"/>
        <v>33.093798847417233</v>
      </c>
      <c r="AN34" s="7">
        <f t="shared" si="4"/>
        <v>33.424736835891409</v>
      </c>
      <c r="AO34" s="7">
        <f t="shared" si="4"/>
        <v>33.758984204250318</v>
      </c>
      <c r="AP34" s="7">
        <f t="shared" si="4"/>
        <v>34.09657404629283</v>
      </c>
    </row>
    <row r="35" spans="2:42" x14ac:dyDescent="0.25">
      <c r="C35" t="s">
        <v>24</v>
      </c>
      <c r="E35" s="23" t="s">
        <v>25</v>
      </c>
      <c r="H35" s="24">
        <f>H22</f>
        <v>7</v>
      </c>
      <c r="I35" s="24">
        <f>$H$22*I28</f>
        <v>7.1749999999999989</v>
      </c>
      <c r="J35" s="24">
        <f t="shared" ref="J35:AP35" si="5">$H$22*J28</f>
        <v>7.3543749999999992</v>
      </c>
      <c r="K35" s="24">
        <f t="shared" si="5"/>
        <v>7.5382343749999992</v>
      </c>
      <c r="L35" s="24">
        <f t="shared" si="5"/>
        <v>7.7266902343749981</v>
      </c>
      <c r="M35" s="24">
        <f t="shared" si="5"/>
        <v>7.9198574902343726</v>
      </c>
      <c r="N35" s="24">
        <f t="shared" si="5"/>
        <v>8.1178539274902306</v>
      </c>
      <c r="O35" s="24">
        <f t="shared" si="5"/>
        <v>8.3208002756774864</v>
      </c>
      <c r="P35" s="24">
        <f t="shared" si="5"/>
        <v>8.5288202825694217</v>
      </c>
      <c r="Q35" s="24">
        <f t="shared" si="5"/>
        <v>8.7420407896336556</v>
      </c>
      <c r="R35" s="24">
        <f t="shared" si="5"/>
        <v>8.9605918093744972</v>
      </c>
      <c r="S35" s="24">
        <f t="shared" si="5"/>
        <v>9.1846066046088595</v>
      </c>
      <c r="T35" s="24">
        <f t="shared" si="5"/>
        <v>9.4142217697240795</v>
      </c>
      <c r="U35" s="24">
        <f t="shared" si="5"/>
        <v>9.6495773139671819</v>
      </c>
      <c r="V35" s="24">
        <f t="shared" si="5"/>
        <v>9.890816746816359</v>
      </c>
      <c r="W35" s="24">
        <f t="shared" si="5"/>
        <v>10.138087165486768</v>
      </c>
      <c r="X35" s="24">
        <f t="shared" si="5"/>
        <v>10.391539344623936</v>
      </c>
      <c r="Y35" s="24">
        <f t="shared" si="5"/>
        <v>10.651327828239532</v>
      </c>
      <c r="Z35" s="24">
        <f t="shared" si="5"/>
        <v>10.91761102394552</v>
      </c>
      <c r="AA35" s="24">
        <f t="shared" si="5"/>
        <v>11.190551299544158</v>
      </c>
      <c r="AB35" s="24">
        <f t="shared" si="5"/>
        <v>11.470315082032759</v>
      </c>
      <c r="AC35" s="24">
        <f t="shared" si="5"/>
        <v>11.757072959083578</v>
      </c>
      <c r="AD35" s="24">
        <f t="shared" si="5"/>
        <v>12.050999783060664</v>
      </c>
      <c r="AE35" s="24">
        <f t="shared" si="5"/>
        <v>12.352274777637181</v>
      </c>
      <c r="AF35" s="24">
        <f t="shared" si="5"/>
        <v>12.66108164707811</v>
      </c>
      <c r="AG35" s="24">
        <f t="shared" si="5"/>
        <v>12.97760868825506</v>
      </c>
      <c r="AH35" s="24">
        <f t="shared" si="5"/>
        <v>13.302048905461437</v>
      </c>
      <c r="AI35" s="24">
        <f t="shared" si="5"/>
        <v>13.634600128097972</v>
      </c>
      <c r="AJ35" s="24">
        <f t="shared" si="5"/>
        <v>13.975465131300419</v>
      </c>
      <c r="AK35" s="24">
        <f t="shared" si="5"/>
        <v>14.324851759582927</v>
      </c>
      <c r="AL35" s="24">
        <f t="shared" si="5"/>
        <v>14.6829730535725</v>
      </c>
      <c r="AM35" s="24">
        <f t="shared" si="5"/>
        <v>15.050047379911812</v>
      </c>
      <c r="AN35" s="24">
        <f t="shared" si="5"/>
        <v>15.426298564409604</v>
      </c>
      <c r="AO35" s="24">
        <f t="shared" si="5"/>
        <v>15.811956028519845</v>
      </c>
      <c r="AP35" s="24">
        <f t="shared" si="5"/>
        <v>16.207254929232839</v>
      </c>
    </row>
    <row r="36" spans="2:42" x14ac:dyDescent="0.25">
      <c r="C36" t="s">
        <v>26</v>
      </c>
      <c r="E36" t="s">
        <v>21</v>
      </c>
      <c r="M36" s="25">
        <f t="shared" ref="M36:AP36" si="6">M35*M34</f>
        <v>202.35235887548822</v>
      </c>
      <c r="N36" s="25">
        <f t="shared" si="6"/>
        <v>209.48527952584914</v>
      </c>
      <c r="O36" s="25">
        <f t="shared" si="6"/>
        <v>216.86963562913533</v>
      </c>
      <c r="P36" s="25">
        <f t="shared" si="6"/>
        <v>224.51429028506229</v>
      </c>
      <c r="Q36" s="25">
        <f t="shared" si="6"/>
        <v>232.42841901761071</v>
      </c>
      <c r="R36" s="25">
        <f t="shared" si="6"/>
        <v>240.62152078798147</v>
      </c>
      <c r="S36" s="25">
        <f t="shared" si="6"/>
        <v>249.10342939575781</v>
      </c>
      <c r="T36" s="25">
        <f t="shared" si="6"/>
        <v>257.88432528195824</v>
      </c>
      <c r="U36" s="25">
        <f t="shared" si="6"/>
        <v>266.97474774814725</v>
      </c>
      <c r="V36" s="25">
        <f t="shared" si="6"/>
        <v>276.38560760626939</v>
      </c>
      <c r="W36" s="25">
        <f t="shared" si="6"/>
        <v>286.12820027439039</v>
      </c>
      <c r="X36" s="25">
        <f t="shared" si="6"/>
        <v>296.21421933406259</v>
      </c>
      <c r="Y36" s="25">
        <f t="shared" si="6"/>
        <v>306.65577056558834</v>
      </c>
      <c r="Z36" s="25">
        <f t="shared" si="6"/>
        <v>317.46538647802527</v>
      </c>
      <c r="AA36" s="25">
        <f t="shared" si="6"/>
        <v>328.65604135137562</v>
      </c>
      <c r="AB36" s="25">
        <f t="shared" si="6"/>
        <v>340.24116680901159</v>
      </c>
      <c r="AC36" s="25">
        <f t="shared" si="6"/>
        <v>352.23466793902924</v>
      </c>
      <c r="AD36" s="25">
        <f t="shared" si="6"/>
        <v>364.65093998387994</v>
      </c>
      <c r="AE36" s="25">
        <f t="shared" si="6"/>
        <v>377.50488561831168</v>
      </c>
      <c r="AF36" s="25">
        <f t="shared" si="6"/>
        <v>390.81193283635713</v>
      </c>
      <c r="AG36" s="25">
        <f t="shared" si="6"/>
        <v>404.58805346883867</v>
      </c>
      <c r="AH36" s="25">
        <f t="shared" si="6"/>
        <v>418.84978235361535</v>
      </c>
      <c r="AI36" s="25">
        <f t="shared" si="6"/>
        <v>433.61423718158034</v>
      </c>
      <c r="AJ36" s="25">
        <f t="shared" si="6"/>
        <v>448.8991390422309</v>
      </c>
      <c r="AK36" s="25">
        <f t="shared" si="6"/>
        <v>464.72283369346945</v>
      </c>
      <c r="AL36" s="25">
        <f t="shared" si="6"/>
        <v>481.10431358116426</v>
      </c>
      <c r="AM36" s="25">
        <f t="shared" si="6"/>
        <v>498.06324063490024</v>
      </c>
      <c r="AN36" s="25">
        <f t="shared" si="6"/>
        <v>515.61996986728047</v>
      </c>
      <c r="AO36" s="25">
        <f t="shared" si="6"/>
        <v>533.79557380510198</v>
      </c>
      <c r="AP36" s="25">
        <f t="shared" si="6"/>
        <v>552.61186778173192</v>
      </c>
    </row>
    <row r="37" spans="2:42" x14ac:dyDescent="0.25">
      <c r="C37" t="s">
        <v>27</v>
      </c>
      <c r="E37" t="s">
        <v>21</v>
      </c>
      <c r="M37" s="21">
        <f t="shared" ref="M37:AP37" si="7">M36*(1-$F$12)</f>
        <v>40.470471775097636</v>
      </c>
      <c r="N37" s="21">
        <f t="shared" si="7"/>
        <v>41.897055905169815</v>
      </c>
      <c r="O37" s="21">
        <f t="shared" si="7"/>
        <v>43.373927125827059</v>
      </c>
      <c r="P37" s="21">
        <f t="shared" si="7"/>
        <v>44.902858057012445</v>
      </c>
      <c r="Q37" s="21">
        <f t="shared" si="7"/>
        <v>46.485683803522129</v>
      </c>
      <c r="R37" s="21">
        <f t="shared" si="7"/>
        <v>48.124304157596285</v>
      </c>
      <c r="S37" s="21">
        <f t="shared" si="7"/>
        <v>49.820685879151554</v>
      </c>
      <c r="T37" s="21">
        <f t="shared" si="7"/>
        <v>51.57686505639164</v>
      </c>
      <c r="U37" s="21">
        <f t="shared" si="7"/>
        <v>53.394949549629438</v>
      </c>
      <c r="V37" s="21">
        <f t="shared" si="7"/>
        <v>55.277121521253868</v>
      </c>
      <c r="W37" s="21">
        <f t="shared" si="7"/>
        <v>57.225640054878063</v>
      </c>
      <c r="X37" s="21">
        <f t="shared" si="7"/>
        <v>59.242843866812507</v>
      </c>
      <c r="Y37" s="21">
        <f t="shared" si="7"/>
        <v>61.331154113117655</v>
      </c>
      <c r="Z37" s="21">
        <f t="shared" si="7"/>
        <v>63.49307729560504</v>
      </c>
      <c r="AA37" s="21">
        <f t="shared" si="7"/>
        <v>65.731208270275104</v>
      </c>
      <c r="AB37" s="21">
        <f t="shared" si="7"/>
        <v>68.048233361802303</v>
      </c>
      <c r="AC37" s="21">
        <f t="shared" si="7"/>
        <v>70.44693358780583</v>
      </c>
      <c r="AD37" s="21">
        <f t="shared" si="7"/>
        <v>72.93018799677597</v>
      </c>
      <c r="AE37" s="21">
        <f t="shared" si="7"/>
        <v>75.500977123662324</v>
      </c>
      <c r="AF37" s="21">
        <f t="shared" si="7"/>
        <v>78.162386567271412</v>
      </c>
      <c r="AG37" s="21">
        <f t="shared" si="7"/>
        <v>80.917610693767713</v>
      </c>
      <c r="AH37" s="21">
        <f t="shared" si="7"/>
        <v>83.769956470723045</v>
      </c>
      <c r="AI37" s="21">
        <f t="shared" si="7"/>
        <v>86.722847436316044</v>
      </c>
      <c r="AJ37" s="21">
        <f t="shared" si="7"/>
        <v>89.779827808446157</v>
      </c>
      <c r="AK37" s="21">
        <f t="shared" si="7"/>
        <v>92.944566738693865</v>
      </c>
      <c r="AL37" s="21">
        <f t="shared" si="7"/>
        <v>96.22086271623283</v>
      </c>
      <c r="AM37" s="21">
        <f t="shared" si="7"/>
        <v>99.612648126980019</v>
      </c>
      <c r="AN37" s="21">
        <f t="shared" si="7"/>
        <v>103.12399397345607</v>
      </c>
      <c r="AO37" s="21">
        <f t="shared" si="7"/>
        <v>106.75911476102037</v>
      </c>
      <c r="AP37" s="21">
        <f t="shared" si="7"/>
        <v>110.52237355634635</v>
      </c>
    </row>
    <row r="38" spans="2:42" x14ac:dyDescent="0.25">
      <c r="C38" t="s">
        <v>28</v>
      </c>
      <c r="E38" t="s">
        <v>21</v>
      </c>
      <c r="M38" s="25">
        <f t="shared" ref="M38:AP38" si="8">M36-M37</f>
        <v>161.8818871003906</v>
      </c>
      <c r="N38" s="25">
        <f t="shared" si="8"/>
        <v>167.58822362067932</v>
      </c>
      <c r="O38" s="25">
        <f t="shared" si="8"/>
        <v>173.49570850330826</v>
      </c>
      <c r="P38" s="25">
        <f t="shared" si="8"/>
        <v>179.61143222804984</v>
      </c>
      <c r="Q38" s="25">
        <f t="shared" si="8"/>
        <v>185.94273521408857</v>
      </c>
      <c r="R38" s="25">
        <f t="shared" si="8"/>
        <v>192.4972166303852</v>
      </c>
      <c r="S38" s="25">
        <f t="shared" si="8"/>
        <v>199.28274351660627</v>
      </c>
      <c r="T38" s="25">
        <f t="shared" si="8"/>
        <v>206.30746022556662</v>
      </c>
      <c r="U38" s="25">
        <f t="shared" si="8"/>
        <v>213.57979819851781</v>
      </c>
      <c r="V38" s="25">
        <f t="shared" si="8"/>
        <v>221.10848608501553</v>
      </c>
      <c r="W38" s="25">
        <f t="shared" si="8"/>
        <v>228.90256021951234</v>
      </c>
      <c r="X38" s="25">
        <f t="shared" si="8"/>
        <v>236.97137546725008</v>
      </c>
      <c r="Y38" s="25">
        <f t="shared" si="8"/>
        <v>245.32461645247068</v>
      </c>
      <c r="Z38" s="25">
        <f t="shared" si="8"/>
        <v>253.97230918242022</v>
      </c>
      <c r="AA38" s="25">
        <f t="shared" si="8"/>
        <v>262.92483308110053</v>
      </c>
      <c r="AB38" s="25">
        <f t="shared" si="8"/>
        <v>272.19293344720927</v>
      </c>
      <c r="AC38" s="25">
        <f t="shared" si="8"/>
        <v>281.78773435122343</v>
      </c>
      <c r="AD38" s="25">
        <f t="shared" si="8"/>
        <v>291.72075198710399</v>
      </c>
      <c r="AE38" s="25">
        <f t="shared" si="8"/>
        <v>302.00390849464935</v>
      </c>
      <c r="AF38" s="25">
        <f t="shared" si="8"/>
        <v>312.6495462690857</v>
      </c>
      <c r="AG38" s="25">
        <f t="shared" si="8"/>
        <v>323.67044277507097</v>
      </c>
      <c r="AH38" s="25">
        <f t="shared" si="8"/>
        <v>335.07982588289229</v>
      </c>
      <c r="AI38" s="25">
        <f t="shared" si="8"/>
        <v>346.89138974526429</v>
      </c>
      <c r="AJ38" s="25">
        <f t="shared" si="8"/>
        <v>359.11931123378474</v>
      </c>
      <c r="AK38" s="25">
        <f t="shared" si="8"/>
        <v>371.77826695477557</v>
      </c>
      <c r="AL38" s="25">
        <f t="shared" si="8"/>
        <v>384.88345086493143</v>
      </c>
      <c r="AM38" s="25">
        <f t="shared" si="8"/>
        <v>398.45059250792019</v>
      </c>
      <c r="AN38" s="25">
        <f t="shared" si="8"/>
        <v>412.49597589382438</v>
      </c>
      <c r="AO38" s="25">
        <f t="shared" si="8"/>
        <v>427.0364590440816</v>
      </c>
      <c r="AP38" s="25">
        <f t="shared" si="8"/>
        <v>442.08949422538558</v>
      </c>
    </row>
    <row r="40" spans="2:42" x14ac:dyDescent="0.25">
      <c r="B40" s="11" t="s">
        <v>29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</row>
    <row r="41" spans="2:42" x14ac:dyDescent="0.25">
      <c r="L41" s="8"/>
    </row>
    <row r="42" spans="2:42" x14ac:dyDescent="0.25">
      <c r="C42" t="s">
        <v>30</v>
      </c>
      <c r="E42" t="s">
        <v>21</v>
      </c>
      <c r="M42" s="25">
        <f>M38/$F$14</f>
        <v>107.92125806692707</v>
      </c>
      <c r="N42" s="25">
        <f t="shared" ref="N42:AM42" si="9">N38/$F$14</f>
        <v>111.72548241378621</v>
      </c>
      <c r="O42" s="25">
        <f t="shared" si="9"/>
        <v>115.66380566887217</v>
      </c>
      <c r="P42" s="25">
        <f t="shared" si="9"/>
        <v>119.74095481869989</v>
      </c>
      <c r="Q42" s="25">
        <f t="shared" si="9"/>
        <v>123.96182347605905</v>
      </c>
      <c r="R42" s="25">
        <f t="shared" si="9"/>
        <v>128.33147775359012</v>
      </c>
      <c r="S42" s="25">
        <f t="shared" si="9"/>
        <v>132.85516234440419</v>
      </c>
      <c r="T42" s="25">
        <f t="shared" si="9"/>
        <v>137.5383068170444</v>
      </c>
      <c r="U42" s="25">
        <f t="shared" si="9"/>
        <v>142.3865321323452</v>
      </c>
      <c r="V42" s="25">
        <f t="shared" si="9"/>
        <v>147.40565739001036</v>
      </c>
      <c r="W42" s="25">
        <f t="shared" si="9"/>
        <v>152.60170681300824</v>
      </c>
      <c r="X42" s="25">
        <f t="shared" si="9"/>
        <v>157.98091697816673</v>
      </c>
      <c r="Y42" s="25">
        <f t="shared" si="9"/>
        <v>163.54974430164711</v>
      </c>
      <c r="Z42" s="25">
        <f t="shared" si="9"/>
        <v>169.31487278828016</v>
      </c>
      <c r="AA42" s="25">
        <f t="shared" si="9"/>
        <v>175.28322205406701</v>
      </c>
      <c r="AB42" s="25">
        <f t="shared" si="9"/>
        <v>181.46195563147285</v>
      </c>
      <c r="AC42" s="25">
        <f t="shared" si="9"/>
        <v>187.85848956748228</v>
      </c>
      <c r="AD42" s="25">
        <f t="shared" si="9"/>
        <v>194.480501324736</v>
      </c>
      <c r="AE42" s="25">
        <f t="shared" si="9"/>
        <v>201.3359389964329</v>
      </c>
      <c r="AF42" s="25">
        <f t="shared" si="9"/>
        <v>208.43303084605714</v>
      </c>
      <c r="AG42" s="25">
        <f t="shared" si="9"/>
        <v>215.78029518338064</v>
      </c>
      <c r="AH42" s="25">
        <f t="shared" si="9"/>
        <v>223.38655058859487</v>
      </c>
      <c r="AI42" s="25">
        <f t="shared" si="9"/>
        <v>231.26092649684287</v>
      </c>
      <c r="AJ42" s="25">
        <f t="shared" si="9"/>
        <v>239.41287415585649</v>
      </c>
      <c r="AK42" s="25">
        <f t="shared" si="9"/>
        <v>247.85217796985037</v>
      </c>
      <c r="AL42" s="25">
        <f t="shared" si="9"/>
        <v>256.58896724328764</v>
      </c>
      <c r="AM42" s="25">
        <f t="shared" si="9"/>
        <v>265.63372833861348</v>
      </c>
      <c r="AN42" s="25"/>
      <c r="AO42" s="25"/>
      <c r="AP42" s="25"/>
    </row>
    <row r="43" spans="2:42" x14ac:dyDescent="0.25">
      <c r="D43" t="s">
        <v>76</v>
      </c>
      <c r="E43" t="s">
        <v>21</v>
      </c>
      <c r="L43" s="25">
        <f>NPV((F6+F8),M42:AM42)</f>
        <v>2238.0114529409598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2:42" x14ac:dyDescent="0.25"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</row>
    <row r="45" spans="2:42" x14ac:dyDescent="0.25">
      <c r="C45" t="s">
        <v>31</v>
      </c>
    </row>
    <row r="46" spans="2:42" x14ac:dyDescent="0.25">
      <c r="D46" t="s">
        <v>32</v>
      </c>
      <c r="E46" t="s">
        <v>21</v>
      </c>
      <c r="L46" s="25"/>
      <c r="M46" s="25">
        <f>L48</f>
        <v>2238.0114529409598</v>
      </c>
      <c r="N46" s="25">
        <f t="shared" ref="N46:AM46" si="10">M48</f>
        <v>2248.7048018799037</v>
      </c>
      <c r="O46" s="25">
        <f t="shared" si="10"/>
        <v>2256.1606739657523</v>
      </c>
      <c r="P46" s="25">
        <f t="shared" si="10"/>
        <v>2260.0733840170651</v>
      </c>
      <c r="Q46" s="25">
        <f t="shared" si="10"/>
        <v>2260.1163185512696</v>
      </c>
      <c r="R46" s="25">
        <f t="shared" si="10"/>
        <v>2255.9406599584277</v>
      </c>
      <c r="S46" s="25">
        <f t="shared" si="10"/>
        <v>2247.174037182634</v>
      </c>
      <c r="T46" s="25">
        <f t="shared" si="10"/>
        <v>2233.4190988089094</v>
      </c>
      <c r="U46" s="25">
        <f t="shared" si="10"/>
        <v>2214.2520042287374</v>
      </c>
      <c r="V46" s="25">
        <f t="shared" si="10"/>
        <v>2189.2208283205155</v>
      </c>
      <c r="W46" s="25">
        <f t="shared" si="10"/>
        <v>2157.8438748314925</v>
      </c>
      <c r="X46" s="25">
        <f t="shared" si="10"/>
        <v>2119.6078933845533</v>
      </c>
      <c r="Y46" s="25">
        <f t="shared" si="10"/>
        <v>2073.9661947557679</v>
      </c>
      <c r="Z46" s="25">
        <f t="shared" si="10"/>
        <v>2020.3366587761766</v>
      </c>
      <c r="AA46" s="25">
        <f t="shared" si="10"/>
        <v>1958.0996289030338</v>
      </c>
      <c r="AB46" s="25">
        <f t="shared" si="10"/>
        <v>1886.5956871808276</v>
      </c>
      <c r="AC46" s="25">
        <f t="shared" si="10"/>
        <v>1805.1233029699385</v>
      </c>
      <c r="AD46" s="25">
        <f t="shared" si="10"/>
        <v>1712.936348459863</v>
      </c>
      <c r="AE46" s="25">
        <f t="shared" si="10"/>
        <v>1609.2414736034998</v>
      </c>
      <c r="AF46" s="25">
        <f t="shared" si="10"/>
        <v>1493.1953327080523</v>
      </c>
      <c r="AG46" s="25">
        <f t="shared" si="10"/>
        <v>1363.9016544955221</v>
      </c>
      <c r="AH46" s="25">
        <f t="shared" si="10"/>
        <v>1220.4081470004041</v>
      </c>
      <c r="AI46" s="25">
        <f t="shared" si="10"/>
        <v>1061.7032282028308</v>
      </c>
      <c r="AJ46" s="25">
        <f t="shared" si="10"/>
        <v>886.71257280073792</v>
      </c>
      <c r="AK46" s="25">
        <f t="shared" si="10"/>
        <v>694.29546500332049</v>
      </c>
      <c r="AL46" s="25">
        <f t="shared" si="10"/>
        <v>483.24094667864608</v>
      </c>
      <c r="AM46" s="25">
        <f t="shared" si="10"/>
        <v>252.26374960932668</v>
      </c>
      <c r="AN46" s="25"/>
      <c r="AO46" s="25"/>
      <c r="AP46" s="25"/>
    </row>
    <row r="47" spans="2:42" x14ac:dyDescent="0.25">
      <c r="D47" t="s">
        <v>33</v>
      </c>
      <c r="E47" t="s">
        <v>21</v>
      </c>
      <c r="L47" s="25"/>
      <c r="M47" s="25">
        <f t="shared" ref="M47:AM47" si="11">M42-M52</f>
        <v>-10.693348938943814</v>
      </c>
      <c r="N47" s="25">
        <f t="shared" si="11"/>
        <v>-7.4558720858486964</v>
      </c>
      <c r="O47" s="25">
        <f t="shared" si="11"/>
        <v>-3.9127100513127147</v>
      </c>
      <c r="P47" s="25">
        <f t="shared" si="11"/>
        <v>-4.293453420457638E-2</v>
      </c>
      <c r="Q47" s="25">
        <f t="shared" si="11"/>
        <v>4.1756585928417564</v>
      </c>
      <c r="R47" s="25">
        <f t="shared" si="11"/>
        <v>8.7666227757934365</v>
      </c>
      <c r="S47" s="25">
        <f t="shared" si="11"/>
        <v>13.754938373724571</v>
      </c>
      <c r="T47" s="25">
        <f t="shared" si="11"/>
        <v>19.16709458017219</v>
      </c>
      <c r="U47" s="25">
        <f t="shared" si="11"/>
        <v>25.031175908222096</v>
      </c>
      <c r="V47" s="25">
        <f t="shared" si="11"/>
        <v>31.376953489023023</v>
      </c>
      <c r="W47" s="25">
        <f t="shared" si="11"/>
        <v>38.235981446939121</v>
      </c>
      <c r="X47" s="25">
        <f t="shared" si="11"/>
        <v>45.641698628785392</v>
      </c>
      <c r="Y47" s="25">
        <f t="shared" si="11"/>
        <v>53.629535979591395</v>
      </c>
      <c r="Z47" s="25">
        <f t="shared" si="11"/>
        <v>62.237029873142788</v>
      </c>
      <c r="AA47" s="25">
        <f t="shared" si="11"/>
        <v>71.503941722206207</v>
      </c>
      <c r="AB47" s="25">
        <f t="shared" si="11"/>
        <v>81.472384210888976</v>
      </c>
      <c r="AC47" s="25">
        <f t="shared" si="11"/>
        <v>92.186954510075523</v>
      </c>
      <c r="AD47" s="25">
        <f t="shared" si="11"/>
        <v>103.69487485636324</v>
      </c>
      <c r="AE47" s="25">
        <f t="shared" si="11"/>
        <v>116.04614089544741</v>
      </c>
      <c r="AF47" s="25">
        <f t="shared" si="11"/>
        <v>129.29367821253035</v>
      </c>
      <c r="AG47" s="25">
        <f t="shared" si="11"/>
        <v>143.49350749511797</v>
      </c>
      <c r="AH47" s="25">
        <f t="shared" si="11"/>
        <v>158.70491879757344</v>
      </c>
      <c r="AI47" s="25">
        <f t="shared" si="11"/>
        <v>174.99065540209284</v>
      </c>
      <c r="AJ47" s="25">
        <f t="shared" si="11"/>
        <v>192.41710779741737</v>
      </c>
      <c r="AK47" s="25">
        <f t="shared" si="11"/>
        <v>211.05451832467438</v>
      </c>
      <c r="AL47" s="25">
        <f t="shared" si="11"/>
        <v>230.9771970693194</v>
      </c>
      <c r="AM47" s="25">
        <f t="shared" si="11"/>
        <v>252.26374960931918</v>
      </c>
      <c r="AN47" s="26"/>
      <c r="AO47" s="26"/>
      <c r="AP47" s="26"/>
    </row>
    <row r="48" spans="2:42" x14ac:dyDescent="0.25">
      <c r="D48" t="s">
        <v>34</v>
      </c>
      <c r="E48" t="s">
        <v>21</v>
      </c>
      <c r="L48" s="18">
        <f>L43</f>
        <v>2238.0114529409598</v>
      </c>
      <c r="M48" s="25">
        <f>M46-M47</f>
        <v>2248.7048018799037</v>
      </c>
      <c r="N48" s="25">
        <f t="shared" ref="N48:AM48" si="12">N46-N47</f>
        <v>2256.1606739657523</v>
      </c>
      <c r="O48" s="25">
        <f t="shared" si="12"/>
        <v>2260.0733840170651</v>
      </c>
      <c r="P48" s="25">
        <f t="shared" si="12"/>
        <v>2260.1163185512696</v>
      </c>
      <c r="Q48" s="25">
        <f t="shared" si="12"/>
        <v>2255.9406599584277</v>
      </c>
      <c r="R48" s="25">
        <f t="shared" si="12"/>
        <v>2247.174037182634</v>
      </c>
      <c r="S48" s="25">
        <f t="shared" si="12"/>
        <v>2233.4190988089094</v>
      </c>
      <c r="T48" s="25">
        <f t="shared" si="12"/>
        <v>2214.2520042287374</v>
      </c>
      <c r="U48" s="25">
        <f t="shared" si="12"/>
        <v>2189.2208283205155</v>
      </c>
      <c r="V48" s="25">
        <f t="shared" si="12"/>
        <v>2157.8438748314925</v>
      </c>
      <c r="W48" s="25">
        <f t="shared" si="12"/>
        <v>2119.6078933845533</v>
      </c>
      <c r="X48" s="25">
        <f t="shared" si="12"/>
        <v>2073.9661947557679</v>
      </c>
      <c r="Y48" s="25">
        <f t="shared" si="12"/>
        <v>2020.3366587761766</v>
      </c>
      <c r="Z48" s="25">
        <f t="shared" si="12"/>
        <v>1958.0996289030338</v>
      </c>
      <c r="AA48" s="25">
        <f t="shared" si="12"/>
        <v>1886.5956871808276</v>
      </c>
      <c r="AB48" s="25">
        <f t="shared" si="12"/>
        <v>1805.1233029699385</v>
      </c>
      <c r="AC48" s="25">
        <f t="shared" si="12"/>
        <v>1712.936348459863</v>
      </c>
      <c r="AD48" s="25">
        <f t="shared" si="12"/>
        <v>1609.2414736034998</v>
      </c>
      <c r="AE48" s="25">
        <f t="shared" si="12"/>
        <v>1493.1953327080523</v>
      </c>
      <c r="AF48" s="25">
        <f t="shared" si="12"/>
        <v>1363.9016544955221</v>
      </c>
      <c r="AG48" s="25">
        <f t="shared" si="12"/>
        <v>1220.4081470004041</v>
      </c>
      <c r="AH48" s="25">
        <f t="shared" si="12"/>
        <v>1061.7032282028308</v>
      </c>
      <c r="AI48" s="25">
        <f t="shared" si="12"/>
        <v>886.71257280073792</v>
      </c>
      <c r="AJ48" s="25">
        <f t="shared" si="12"/>
        <v>694.29546500332049</v>
      </c>
      <c r="AK48" s="25">
        <f t="shared" si="12"/>
        <v>483.24094667864608</v>
      </c>
      <c r="AL48" s="25">
        <f t="shared" si="12"/>
        <v>252.26374960932668</v>
      </c>
      <c r="AM48" s="18">
        <f t="shared" si="12"/>
        <v>7.503331289626658E-12</v>
      </c>
    </row>
    <row r="49" spans="2:42" x14ac:dyDescent="0.25">
      <c r="L49" s="27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7"/>
      <c r="AN49" s="25"/>
      <c r="AO49" s="25"/>
      <c r="AP49" s="25"/>
    </row>
    <row r="50" spans="2:42" x14ac:dyDescent="0.25">
      <c r="C50" t="s">
        <v>35</v>
      </c>
      <c r="L50" s="27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7"/>
      <c r="AN50" s="25"/>
      <c r="AO50" s="25"/>
      <c r="AP50" s="25"/>
    </row>
    <row r="51" spans="2:42" x14ac:dyDescent="0.25">
      <c r="D51" t="s">
        <v>36</v>
      </c>
      <c r="E51" t="s">
        <v>21</v>
      </c>
      <c r="L51" s="27"/>
      <c r="M51" s="25">
        <f>M47</f>
        <v>-10.693348938943814</v>
      </c>
      <c r="N51" s="25">
        <f>N47</f>
        <v>-7.4558720858486964</v>
      </c>
      <c r="O51" s="25">
        <f t="shared" ref="O51:AM51" si="13">O47</f>
        <v>-3.9127100513127147</v>
      </c>
      <c r="P51" s="25">
        <f t="shared" si="13"/>
        <v>-4.293453420457638E-2</v>
      </c>
      <c r="Q51" s="25">
        <f t="shared" si="13"/>
        <v>4.1756585928417564</v>
      </c>
      <c r="R51" s="25">
        <f t="shared" si="13"/>
        <v>8.7666227757934365</v>
      </c>
      <c r="S51" s="25">
        <f t="shared" si="13"/>
        <v>13.754938373724571</v>
      </c>
      <c r="T51" s="25">
        <f t="shared" si="13"/>
        <v>19.16709458017219</v>
      </c>
      <c r="U51" s="25">
        <f t="shared" si="13"/>
        <v>25.031175908222096</v>
      </c>
      <c r="V51" s="25">
        <f t="shared" si="13"/>
        <v>31.376953489023023</v>
      </c>
      <c r="W51" s="25">
        <f t="shared" si="13"/>
        <v>38.235981446939121</v>
      </c>
      <c r="X51" s="25">
        <f t="shared" si="13"/>
        <v>45.641698628785392</v>
      </c>
      <c r="Y51" s="25">
        <f t="shared" si="13"/>
        <v>53.629535979591395</v>
      </c>
      <c r="Z51" s="25">
        <f t="shared" si="13"/>
        <v>62.237029873142788</v>
      </c>
      <c r="AA51" s="25">
        <f t="shared" si="13"/>
        <v>71.503941722206207</v>
      </c>
      <c r="AB51" s="25">
        <f t="shared" si="13"/>
        <v>81.472384210888976</v>
      </c>
      <c r="AC51" s="25">
        <f t="shared" si="13"/>
        <v>92.186954510075523</v>
      </c>
      <c r="AD51" s="25">
        <f t="shared" si="13"/>
        <v>103.69487485636324</v>
      </c>
      <c r="AE51" s="25">
        <f t="shared" si="13"/>
        <v>116.04614089544741</v>
      </c>
      <c r="AF51" s="25">
        <f t="shared" si="13"/>
        <v>129.29367821253035</v>
      </c>
      <c r="AG51" s="25">
        <f t="shared" si="13"/>
        <v>143.49350749511797</v>
      </c>
      <c r="AH51" s="25">
        <f t="shared" si="13"/>
        <v>158.70491879757344</v>
      </c>
      <c r="AI51" s="25">
        <f t="shared" si="13"/>
        <v>174.99065540209284</v>
      </c>
      <c r="AJ51" s="25">
        <f t="shared" si="13"/>
        <v>192.41710779741737</v>
      </c>
      <c r="AK51" s="25">
        <f t="shared" si="13"/>
        <v>211.05451832467438</v>
      </c>
      <c r="AL51" s="25">
        <f t="shared" si="13"/>
        <v>230.9771970693194</v>
      </c>
      <c r="AM51" s="25">
        <f t="shared" si="13"/>
        <v>252.26374960931918</v>
      </c>
      <c r="AN51" s="25"/>
      <c r="AO51" s="25"/>
      <c r="AP51" s="25"/>
    </row>
    <row r="52" spans="2:42" x14ac:dyDescent="0.25">
      <c r="D52" t="s">
        <v>37</v>
      </c>
      <c r="E52" t="s">
        <v>21</v>
      </c>
      <c r="L52" s="27"/>
      <c r="M52" s="21">
        <f t="shared" ref="M52:AM52" si="14">($F$6+$F$8)*M46</f>
        <v>118.61460700587088</v>
      </c>
      <c r="N52" s="21">
        <f t="shared" si="14"/>
        <v>119.18135449963491</v>
      </c>
      <c r="O52" s="21">
        <f t="shared" si="14"/>
        <v>119.57651572018489</v>
      </c>
      <c r="P52" s="21">
        <f t="shared" si="14"/>
        <v>119.78388935290447</v>
      </c>
      <c r="Q52" s="21">
        <f t="shared" si="14"/>
        <v>119.7861648832173</v>
      </c>
      <c r="R52" s="21">
        <f t="shared" si="14"/>
        <v>119.56485497779668</v>
      </c>
      <c r="S52" s="21">
        <f t="shared" si="14"/>
        <v>119.10022397067962</v>
      </c>
      <c r="T52" s="21">
        <f t="shared" si="14"/>
        <v>118.37121223687221</v>
      </c>
      <c r="U52" s="21">
        <f t="shared" si="14"/>
        <v>117.3553562241231</v>
      </c>
      <c r="V52" s="21">
        <f t="shared" si="14"/>
        <v>116.02870390098734</v>
      </c>
      <c r="W52" s="21">
        <f t="shared" si="14"/>
        <v>114.36572536606911</v>
      </c>
      <c r="X52" s="21">
        <f t="shared" si="14"/>
        <v>112.33921834938134</v>
      </c>
      <c r="Y52" s="21">
        <f t="shared" si="14"/>
        <v>109.92020832205571</v>
      </c>
      <c r="Z52" s="21">
        <f t="shared" si="14"/>
        <v>107.07784291513737</v>
      </c>
      <c r="AA52" s="21">
        <f t="shared" si="14"/>
        <v>103.7792803318608</v>
      </c>
      <c r="AB52" s="21">
        <f t="shared" si="14"/>
        <v>99.989571420583871</v>
      </c>
      <c r="AC52" s="21">
        <f t="shared" si="14"/>
        <v>95.671535057406757</v>
      </c>
      <c r="AD52" s="21">
        <f t="shared" si="14"/>
        <v>90.785626468372755</v>
      </c>
      <c r="AE52" s="21">
        <f t="shared" si="14"/>
        <v>85.289798100985493</v>
      </c>
      <c r="AF52" s="21">
        <f t="shared" si="14"/>
        <v>79.139352633526784</v>
      </c>
      <c r="AG52" s="21">
        <f t="shared" si="14"/>
        <v>72.286787688262677</v>
      </c>
      <c r="AH52" s="21">
        <f t="shared" si="14"/>
        <v>64.681631791021431</v>
      </c>
      <c r="AI52" s="21">
        <f t="shared" si="14"/>
        <v>56.270271094750036</v>
      </c>
      <c r="AJ52" s="21">
        <f t="shared" si="14"/>
        <v>46.995766358439113</v>
      </c>
      <c r="AK52" s="21">
        <f t="shared" si="14"/>
        <v>36.79765964517599</v>
      </c>
      <c r="AL52" s="21">
        <f t="shared" si="14"/>
        <v>25.611770173968246</v>
      </c>
      <c r="AM52" s="21">
        <f t="shared" si="14"/>
        <v>13.369978729294315</v>
      </c>
      <c r="AN52" s="25"/>
      <c r="AO52" s="25"/>
      <c r="AP52" s="25"/>
    </row>
    <row r="53" spans="2:42" x14ac:dyDescent="0.25">
      <c r="D53" t="s">
        <v>35</v>
      </c>
      <c r="E53" t="s">
        <v>21</v>
      </c>
      <c r="L53" s="27"/>
      <c r="M53" s="25">
        <f>M51+M52</f>
        <v>107.92125806692707</v>
      </c>
      <c r="N53" s="25">
        <f t="shared" ref="N53:AM53" si="15">N51+N52</f>
        <v>111.72548241378621</v>
      </c>
      <c r="O53" s="25">
        <f t="shared" si="15"/>
        <v>115.66380566887217</v>
      </c>
      <c r="P53" s="25">
        <f t="shared" si="15"/>
        <v>119.74095481869989</v>
      </c>
      <c r="Q53" s="25">
        <f t="shared" si="15"/>
        <v>123.96182347605905</v>
      </c>
      <c r="R53" s="25">
        <f t="shared" si="15"/>
        <v>128.33147775359012</v>
      </c>
      <c r="S53" s="25">
        <f t="shared" si="15"/>
        <v>132.85516234440419</v>
      </c>
      <c r="T53" s="25">
        <f t="shared" si="15"/>
        <v>137.5383068170444</v>
      </c>
      <c r="U53" s="25">
        <f t="shared" si="15"/>
        <v>142.3865321323452</v>
      </c>
      <c r="V53" s="25">
        <f t="shared" si="15"/>
        <v>147.40565739001036</v>
      </c>
      <c r="W53" s="25">
        <f t="shared" si="15"/>
        <v>152.60170681300824</v>
      </c>
      <c r="X53" s="25">
        <f t="shared" si="15"/>
        <v>157.98091697816673</v>
      </c>
      <c r="Y53" s="25">
        <f t="shared" si="15"/>
        <v>163.54974430164711</v>
      </c>
      <c r="Z53" s="25">
        <f t="shared" si="15"/>
        <v>169.31487278828016</v>
      </c>
      <c r="AA53" s="25">
        <f t="shared" si="15"/>
        <v>175.28322205406701</v>
      </c>
      <c r="AB53" s="25">
        <f t="shared" si="15"/>
        <v>181.46195563147285</v>
      </c>
      <c r="AC53" s="25">
        <f t="shared" si="15"/>
        <v>187.85848956748228</v>
      </c>
      <c r="AD53" s="25">
        <f t="shared" si="15"/>
        <v>194.480501324736</v>
      </c>
      <c r="AE53" s="25">
        <f t="shared" si="15"/>
        <v>201.3359389964329</v>
      </c>
      <c r="AF53" s="25">
        <f t="shared" si="15"/>
        <v>208.43303084605714</v>
      </c>
      <c r="AG53" s="25">
        <f t="shared" si="15"/>
        <v>215.78029518338064</v>
      </c>
      <c r="AH53" s="25">
        <f t="shared" si="15"/>
        <v>223.38655058859487</v>
      </c>
      <c r="AI53" s="25">
        <f t="shared" si="15"/>
        <v>231.26092649684287</v>
      </c>
      <c r="AJ53" s="25">
        <f t="shared" si="15"/>
        <v>239.41287415585649</v>
      </c>
      <c r="AK53" s="25">
        <f t="shared" si="15"/>
        <v>247.85217796985037</v>
      </c>
      <c r="AL53" s="25">
        <f t="shared" si="15"/>
        <v>256.58896724328764</v>
      </c>
      <c r="AM53" s="25">
        <f t="shared" si="15"/>
        <v>265.63372833861348</v>
      </c>
      <c r="AN53" s="25"/>
      <c r="AO53" s="25"/>
      <c r="AP53" s="25"/>
    </row>
    <row r="54" spans="2:42" x14ac:dyDescent="0.25">
      <c r="L54" s="27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</row>
    <row r="55" spans="2:42" x14ac:dyDescent="0.25">
      <c r="D55" t="s">
        <v>38</v>
      </c>
      <c r="E55" t="s">
        <v>39</v>
      </c>
      <c r="F55" s="3">
        <f>MIN(M55:AM55)</f>
        <v>1.5</v>
      </c>
      <c r="M55" s="3">
        <f t="shared" ref="M55:AM55" si="16">M38/(M53)</f>
        <v>1.5</v>
      </c>
      <c r="N55" s="3">
        <f t="shared" si="16"/>
        <v>1.5</v>
      </c>
      <c r="O55" s="3">
        <f t="shared" si="16"/>
        <v>1.5</v>
      </c>
      <c r="P55" s="3">
        <f t="shared" si="16"/>
        <v>1.5</v>
      </c>
      <c r="Q55" s="3">
        <f t="shared" si="16"/>
        <v>1.5</v>
      </c>
      <c r="R55" s="3">
        <f t="shared" si="16"/>
        <v>1.5</v>
      </c>
      <c r="S55" s="3">
        <f t="shared" si="16"/>
        <v>1.5</v>
      </c>
      <c r="T55" s="3">
        <f t="shared" si="16"/>
        <v>1.5</v>
      </c>
      <c r="U55" s="3">
        <f t="shared" si="16"/>
        <v>1.5</v>
      </c>
      <c r="V55" s="3">
        <f t="shared" si="16"/>
        <v>1.5</v>
      </c>
      <c r="W55" s="3">
        <f t="shared" si="16"/>
        <v>1.5</v>
      </c>
      <c r="X55" s="3">
        <f t="shared" si="16"/>
        <v>1.5</v>
      </c>
      <c r="Y55" s="3">
        <f t="shared" si="16"/>
        <v>1.5</v>
      </c>
      <c r="Z55" s="3">
        <f t="shared" si="16"/>
        <v>1.5</v>
      </c>
      <c r="AA55" s="3">
        <f t="shared" si="16"/>
        <v>1.5</v>
      </c>
      <c r="AB55" s="3">
        <f t="shared" si="16"/>
        <v>1.5</v>
      </c>
      <c r="AC55" s="3">
        <f t="shared" si="16"/>
        <v>1.5</v>
      </c>
      <c r="AD55" s="3">
        <f t="shared" si="16"/>
        <v>1.5</v>
      </c>
      <c r="AE55" s="3">
        <f t="shared" si="16"/>
        <v>1.5</v>
      </c>
      <c r="AF55" s="3">
        <f t="shared" si="16"/>
        <v>1.5</v>
      </c>
      <c r="AG55" s="3">
        <f t="shared" si="16"/>
        <v>1.5</v>
      </c>
      <c r="AH55" s="3">
        <f t="shared" si="16"/>
        <v>1.5</v>
      </c>
      <c r="AI55" s="3">
        <f t="shared" si="16"/>
        <v>1.5</v>
      </c>
      <c r="AJ55" s="3">
        <f t="shared" si="16"/>
        <v>1.5</v>
      </c>
      <c r="AK55" s="3">
        <f t="shared" si="16"/>
        <v>1.5</v>
      </c>
      <c r="AL55" s="3">
        <f t="shared" si="16"/>
        <v>1.5</v>
      </c>
      <c r="AM55" s="3">
        <f t="shared" si="16"/>
        <v>1.5</v>
      </c>
      <c r="AN55" s="3"/>
      <c r="AO55" s="3"/>
      <c r="AP55" s="3"/>
    </row>
    <row r="56" spans="2:42" x14ac:dyDescent="0.25">
      <c r="F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</row>
    <row r="57" spans="2:42" x14ac:dyDescent="0.25">
      <c r="B57" s="11" t="s">
        <v>40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</row>
    <row r="58" spans="2:42" x14ac:dyDescent="0.25">
      <c r="F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</row>
    <row r="59" spans="2:42" x14ac:dyDescent="0.25">
      <c r="C59" t="s">
        <v>41</v>
      </c>
    </row>
    <row r="60" spans="2:42" x14ac:dyDescent="0.25">
      <c r="D60" t="s">
        <v>32</v>
      </c>
      <c r="E60" t="s">
        <v>21</v>
      </c>
      <c r="G60" s="25"/>
      <c r="H60" s="25">
        <f>G63</f>
        <v>0</v>
      </c>
      <c r="I60" s="25">
        <f>H63</f>
        <v>1920</v>
      </c>
      <c r="J60" s="25">
        <f t="shared" ref="J60:L60" si="17">I63</f>
        <v>2238.0114529409598</v>
      </c>
      <c r="K60" s="25">
        <f t="shared" si="17"/>
        <v>2238.0114529409598</v>
      </c>
      <c r="L60" s="25">
        <f t="shared" si="17"/>
        <v>2238.0114529409598</v>
      </c>
    </row>
    <row r="61" spans="2:42" x14ac:dyDescent="0.25">
      <c r="D61" t="s">
        <v>42</v>
      </c>
      <c r="E61" t="s">
        <v>21</v>
      </c>
      <c r="F61" s="25"/>
      <c r="G61" s="25"/>
      <c r="H61" s="25">
        <f>IF(H31+H60+H62 &lt; $L$48, H31, $L$48-H62-H60)</f>
        <v>1920</v>
      </c>
      <c r="I61" s="25">
        <f>IF(I31+I60+I62 &lt; $L$48, I31, $L$48-I62-I60)</f>
        <v>250.81145294095995</v>
      </c>
      <c r="J61" s="25">
        <f>IF(J31+J60+J62 &lt; $L$48, J31, $L$48-J62-J60)</f>
        <v>-78.330400852933508</v>
      </c>
      <c r="K61" s="25">
        <f>IF(K31+K60+K62 &lt; $L$48, K31, $L$48-K62-K60)</f>
        <v>-78.330400852933508</v>
      </c>
      <c r="L61" s="25">
        <f>IF(L31+L60+L62 &lt; $L$48, L31, $L$48-L62-L60)</f>
        <v>-78.330400852933508</v>
      </c>
    </row>
    <row r="62" spans="2:42" x14ac:dyDescent="0.25">
      <c r="D62" t="s">
        <v>43</v>
      </c>
      <c r="E62" t="s">
        <v>21</v>
      </c>
      <c r="G62" s="26"/>
      <c r="H62" s="21">
        <f>([2]RiverCross!$F$6+[2]RiverCross!$F$7)*H60</f>
        <v>0</v>
      </c>
      <c r="I62" s="21">
        <f>($F$6+$H$7)*I60</f>
        <v>67.2</v>
      </c>
      <c r="J62" s="21">
        <f t="shared" ref="J62:L62" si="18">($F$6+$H$7)*J60</f>
        <v>78.330400852933593</v>
      </c>
      <c r="K62" s="21">
        <f t="shared" si="18"/>
        <v>78.330400852933593</v>
      </c>
      <c r="L62" s="21">
        <f t="shared" si="18"/>
        <v>78.330400852933593</v>
      </c>
    </row>
    <row r="63" spans="2:42" x14ac:dyDescent="0.25">
      <c r="D63" t="s">
        <v>34</v>
      </c>
      <c r="E63" t="s">
        <v>21</v>
      </c>
      <c r="G63" s="26">
        <v>0</v>
      </c>
      <c r="H63" s="25">
        <f t="shared" ref="H63:L63" si="19">H60+H61+H62</f>
        <v>1920</v>
      </c>
      <c r="I63" s="25">
        <f t="shared" si="19"/>
        <v>2238.0114529409598</v>
      </c>
      <c r="J63" s="25">
        <f t="shared" si="19"/>
        <v>2238.0114529409598</v>
      </c>
      <c r="K63" s="25">
        <f t="shared" si="19"/>
        <v>2238.0114529409598</v>
      </c>
      <c r="L63" s="25">
        <f t="shared" si="19"/>
        <v>2238.0114529409598</v>
      </c>
    </row>
    <row r="65" spans="2:42" x14ac:dyDescent="0.25">
      <c r="C65" t="s">
        <v>44</v>
      </c>
    </row>
    <row r="66" spans="2:42" x14ac:dyDescent="0.25">
      <c r="D66" t="s">
        <v>32</v>
      </c>
      <c r="E66" t="s">
        <v>21</v>
      </c>
      <c r="H66" s="8">
        <f>G68</f>
        <v>0</v>
      </c>
      <c r="I66" s="8">
        <f t="shared" ref="I66:L66" si="20">H68</f>
        <v>0</v>
      </c>
      <c r="J66" s="8">
        <f t="shared" si="20"/>
        <v>2369.9885470590402</v>
      </c>
      <c r="K66" s="8">
        <f t="shared" si="20"/>
        <v>5822.9109479119743</v>
      </c>
      <c r="L66" s="8">
        <f t="shared" si="20"/>
        <v>8735.8986287649077</v>
      </c>
    </row>
    <row r="67" spans="2:42" x14ac:dyDescent="0.25">
      <c r="D67" t="s">
        <v>45</v>
      </c>
      <c r="E67" t="s">
        <v>21</v>
      </c>
      <c r="F67" s="26"/>
      <c r="H67" s="21">
        <f>H31-H61</f>
        <v>0</v>
      </c>
      <c r="I67" s="21">
        <f>I31-I61</f>
        <v>2369.9885470590402</v>
      </c>
      <c r="J67" s="21">
        <f>J31-J61</f>
        <v>3452.9224008529341</v>
      </c>
      <c r="K67" s="21">
        <f>K31-K61</f>
        <v>2912.9876808529339</v>
      </c>
      <c r="L67" s="21">
        <f>L31-L61</f>
        <v>2324.4588360529337</v>
      </c>
    </row>
    <row r="68" spans="2:42" x14ac:dyDescent="0.25">
      <c r="D68" t="s">
        <v>34</v>
      </c>
      <c r="E68" t="s">
        <v>21</v>
      </c>
      <c r="F68" s="26"/>
      <c r="G68" s="26">
        <v>0</v>
      </c>
      <c r="H68" s="25">
        <f>H66+H67</f>
        <v>0</v>
      </c>
      <c r="I68" s="25">
        <f t="shared" ref="I68:L68" si="21">I66+I67</f>
        <v>2369.9885470590402</v>
      </c>
      <c r="J68" s="25">
        <f t="shared" si="21"/>
        <v>5822.9109479119743</v>
      </c>
      <c r="K68" s="25">
        <f t="shared" si="21"/>
        <v>8735.8986287649077</v>
      </c>
      <c r="L68" s="25">
        <f t="shared" si="21"/>
        <v>11060.357464817842</v>
      </c>
    </row>
    <row r="70" spans="2:42" x14ac:dyDescent="0.25">
      <c r="C70" t="s">
        <v>46</v>
      </c>
    </row>
    <row r="71" spans="2:42" x14ac:dyDescent="0.25">
      <c r="D71" t="s">
        <v>47</v>
      </c>
      <c r="E71" t="s">
        <v>21</v>
      </c>
      <c r="H71" s="8">
        <f t="shared" ref="H71:K71" si="22">H63</f>
        <v>1920</v>
      </c>
      <c r="I71" s="8">
        <f t="shared" si="22"/>
        <v>2238.0114529409598</v>
      </c>
      <c r="J71" s="8">
        <f t="shared" si="22"/>
        <v>2238.0114529409598</v>
      </c>
      <c r="K71" s="8">
        <f t="shared" si="22"/>
        <v>2238.0114529409598</v>
      </c>
      <c r="L71" s="8">
        <f>L63</f>
        <v>2238.0114529409598</v>
      </c>
    </row>
    <row r="72" spans="2:42" x14ac:dyDescent="0.25">
      <c r="D72" t="s">
        <v>48</v>
      </c>
      <c r="E72" t="s">
        <v>21</v>
      </c>
      <c r="H72" s="28">
        <f t="shared" ref="H72:K72" si="23">H68</f>
        <v>0</v>
      </c>
      <c r="I72" s="28">
        <f t="shared" si="23"/>
        <v>2369.9885470590402</v>
      </c>
      <c r="J72" s="28">
        <f t="shared" si="23"/>
        <v>5822.9109479119743</v>
      </c>
      <c r="K72" s="28">
        <f t="shared" si="23"/>
        <v>8735.8986287649077</v>
      </c>
      <c r="L72" s="28">
        <f>L68</f>
        <v>11060.357464817842</v>
      </c>
    </row>
    <row r="73" spans="2:42" x14ac:dyDescent="0.25">
      <c r="D73" t="s">
        <v>49</v>
      </c>
      <c r="E73" t="s">
        <v>21</v>
      </c>
      <c r="H73" s="8">
        <f t="shared" ref="H73:K73" si="24">SUM(H71:H72)</f>
        <v>1920</v>
      </c>
      <c r="I73" s="8">
        <f t="shared" si="24"/>
        <v>4608</v>
      </c>
      <c r="J73" s="8">
        <f t="shared" si="24"/>
        <v>8060.9224008529345</v>
      </c>
      <c r="K73" s="8">
        <f t="shared" si="24"/>
        <v>10973.910081705868</v>
      </c>
      <c r="L73" s="8">
        <f>SUM(L71:L72)</f>
        <v>13298.368917758802</v>
      </c>
    </row>
    <row r="75" spans="2:42" x14ac:dyDescent="0.25">
      <c r="B75" s="11" t="s">
        <v>50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</row>
    <row r="76" spans="2:42" x14ac:dyDescent="0.25">
      <c r="E76" s="29"/>
      <c r="F76" s="2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</row>
    <row r="77" spans="2:42" x14ac:dyDescent="0.25">
      <c r="C77" t="s">
        <v>51</v>
      </c>
    </row>
    <row r="78" spans="2:42" x14ac:dyDescent="0.25">
      <c r="D78" t="s">
        <v>52</v>
      </c>
      <c r="E78" t="s">
        <v>21</v>
      </c>
      <c r="F78" s="25"/>
      <c r="H78" s="25"/>
      <c r="I78" s="25"/>
      <c r="J78" s="25"/>
      <c r="K78" s="25"/>
      <c r="L78" s="25"/>
      <c r="M78" s="25">
        <f t="shared" ref="M78:AP79" si="25">M36</f>
        <v>202.35235887548822</v>
      </c>
      <c r="N78" s="25">
        <f t="shared" si="25"/>
        <v>209.48527952584914</v>
      </c>
      <c r="O78" s="25">
        <f t="shared" si="25"/>
        <v>216.86963562913533</v>
      </c>
      <c r="P78" s="25">
        <f t="shared" si="25"/>
        <v>224.51429028506229</v>
      </c>
      <c r="Q78" s="25">
        <f t="shared" si="25"/>
        <v>232.42841901761071</v>
      </c>
      <c r="R78" s="25">
        <f t="shared" si="25"/>
        <v>240.62152078798147</v>
      </c>
      <c r="S78" s="25">
        <f t="shared" si="25"/>
        <v>249.10342939575781</v>
      </c>
      <c r="T78" s="25">
        <f t="shared" si="25"/>
        <v>257.88432528195824</v>
      </c>
      <c r="U78" s="25">
        <f t="shared" si="25"/>
        <v>266.97474774814725</v>
      </c>
      <c r="V78" s="25">
        <f t="shared" si="25"/>
        <v>276.38560760626939</v>
      </c>
      <c r="W78" s="25">
        <f t="shared" si="25"/>
        <v>286.12820027439039</v>
      </c>
      <c r="X78" s="25">
        <f t="shared" si="25"/>
        <v>296.21421933406259</v>
      </c>
      <c r="Y78" s="25">
        <f t="shared" si="25"/>
        <v>306.65577056558834</v>
      </c>
      <c r="Z78" s="25">
        <f t="shared" si="25"/>
        <v>317.46538647802527</v>
      </c>
      <c r="AA78" s="25">
        <f t="shared" si="25"/>
        <v>328.65604135137562</v>
      </c>
      <c r="AB78" s="25">
        <f t="shared" si="25"/>
        <v>340.24116680901159</v>
      </c>
      <c r="AC78" s="25">
        <f t="shared" si="25"/>
        <v>352.23466793902924</v>
      </c>
      <c r="AD78" s="25">
        <f t="shared" si="25"/>
        <v>364.65093998387994</v>
      </c>
      <c r="AE78" s="25">
        <f t="shared" si="25"/>
        <v>377.50488561831168</v>
      </c>
      <c r="AF78" s="25">
        <f t="shared" si="25"/>
        <v>390.81193283635713</v>
      </c>
      <c r="AG78" s="25">
        <f t="shared" si="25"/>
        <v>404.58805346883867</v>
      </c>
      <c r="AH78" s="25">
        <f t="shared" si="25"/>
        <v>418.84978235361535</v>
      </c>
      <c r="AI78" s="25">
        <f t="shared" si="25"/>
        <v>433.61423718158034</v>
      </c>
      <c r="AJ78" s="25">
        <f t="shared" si="25"/>
        <v>448.8991390422309</v>
      </c>
      <c r="AK78" s="25">
        <f t="shared" si="25"/>
        <v>464.72283369346945</v>
      </c>
      <c r="AL78" s="25">
        <f t="shared" si="25"/>
        <v>481.10431358116426</v>
      </c>
      <c r="AM78" s="25">
        <f t="shared" si="25"/>
        <v>498.06324063490024</v>
      </c>
      <c r="AN78" s="25">
        <f t="shared" si="25"/>
        <v>515.61996986728047</v>
      </c>
      <c r="AO78" s="25">
        <f t="shared" si="25"/>
        <v>533.79557380510198</v>
      </c>
      <c r="AP78" s="25">
        <f t="shared" si="25"/>
        <v>552.61186778173192</v>
      </c>
    </row>
    <row r="79" spans="2:42" x14ac:dyDescent="0.25">
      <c r="D79" t="s">
        <v>53</v>
      </c>
      <c r="E79" t="s">
        <v>21</v>
      </c>
      <c r="F79" s="26"/>
      <c r="H79" s="26"/>
      <c r="I79" s="26"/>
      <c r="J79" s="26"/>
      <c r="K79" s="26"/>
      <c r="L79" s="26"/>
      <c r="M79" s="26">
        <f t="shared" si="25"/>
        <v>40.470471775097636</v>
      </c>
      <c r="N79" s="26">
        <f t="shared" si="25"/>
        <v>41.897055905169815</v>
      </c>
      <c r="O79" s="26">
        <f t="shared" si="25"/>
        <v>43.373927125827059</v>
      </c>
      <c r="P79" s="26">
        <f t="shared" si="25"/>
        <v>44.902858057012445</v>
      </c>
      <c r="Q79" s="26">
        <f t="shared" si="25"/>
        <v>46.485683803522129</v>
      </c>
      <c r="R79" s="26">
        <f t="shared" si="25"/>
        <v>48.124304157596285</v>
      </c>
      <c r="S79" s="26">
        <f t="shared" si="25"/>
        <v>49.820685879151554</v>
      </c>
      <c r="T79" s="26">
        <f t="shared" si="25"/>
        <v>51.57686505639164</v>
      </c>
      <c r="U79" s="26">
        <f t="shared" si="25"/>
        <v>53.394949549629438</v>
      </c>
      <c r="V79" s="26">
        <f t="shared" si="25"/>
        <v>55.277121521253868</v>
      </c>
      <c r="W79" s="26">
        <f t="shared" si="25"/>
        <v>57.225640054878063</v>
      </c>
      <c r="X79" s="26">
        <f t="shared" si="25"/>
        <v>59.242843866812507</v>
      </c>
      <c r="Y79" s="26">
        <f t="shared" si="25"/>
        <v>61.331154113117655</v>
      </c>
      <c r="Z79" s="26">
        <f t="shared" si="25"/>
        <v>63.49307729560504</v>
      </c>
      <c r="AA79" s="26">
        <f t="shared" si="25"/>
        <v>65.731208270275104</v>
      </c>
      <c r="AB79" s="26">
        <f t="shared" si="25"/>
        <v>68.048233361802303</v>
      </c>
      <c r="AC79" s="26">
        <f t="shared" si="25"/>
        <v>70.44693358780583</v>
      </c>
      <c r="AD79" s="26">
        <f t="shared" si="25"/>
        <v>72.93018799677597</v>
      </c>
      <c r="AE79" s="26">
        <f t="shared" si="25"/>
        <v>75.500977123662324</v>
      </c>
      <c r="AF79" s="26">
        <f t="shared" si="25"/>
        <v>78.162386567271412</v>
      </c>
      <c r="AG79" s="26">
        <f t="shared" si="25"/>
        <v>80.917610693767713</v>
      </c>
      <c r="AH79" s="26">
        <f t="shared" si="25"/>
        <v>83.769956470723045</v>
      </c>
      <c r="AI79" s="26">
        <f t="shared" si="25"/>
        <v>86.722847436316044</v>
      </c>
      <c r="AJ79" s="26">
        <f t="shared" si="25"/>
        <v>89.779827808446157</v>
      </c>
      <c r="AK79" s="26">
        <f t="shared" si="25"/>
        <v>92.944566738693865</v>
      </c>
      <c r="AL79" s="26">
        <f t="shared" si="25"/>
        <v>96.22086271623283</v>
      </c>
      <c r="AM79" s="26">
        <f t="shared" si="25"/>
        <v>99.612648126980019</v>
      </c>
      <c r="AN79" s="26">
        <f t="shared" si="25"/>
        <v>103.12399397345607</v>
      </c>
      <c r="AO79" s="26">
        <f t="shared" si="25"/>
        <v>106.75911476102037</v>
      </c>
      <c r="AP79" s="26">
        <f t="shared" si="25"/>
        <v>110.52237355634635</v>
      </c>
    </row>
    <row r="80" spans="2:42" x14ac:dyDescent="0.25">
      <c r="D80" t="s">
        <v>54</v>
      </c>
      <c r="E80" t="s">
        <v>21</v>
      </c>
      <c r="H80" s="28">
        <f>H31</f>
        <v>1920</v>
      </c>
      <c r="I80" s="28">
        <f>I31</f>
        <v>2620.8000000000002</v>
      </c>
      <c r="J80" s="28">
        <f>J31</f>
        <v>3374.5920000000006</v>
      </c>
      <c r="K80" s="28">
        <f>K31</f>
        <v>2834.6572800000004</v>
      </c>
      <c r="L80" s="28">
        <f>L31</f>
        <v>2246.1284352000002</v>
      </c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</row>
    <row r="81" spans="3:42" x14ac:dyDescent="0.25">
      <c r="D81" t="s">
        <v>55</v>
      </c>
      <c r="E81" t="s">
        <v>21</v>
      </c>
      <c r="H81" s="8">
        <f t="shared" ref="H81:L81" si="26">H78-H79-H80</f>
        <v>-1920</v>
      </c>
      <c r="I81" s="8">
        <f t="shared" si="26"/>
        <v>-2620.8000000000002</v>
      </c>
      <c r="J81" s="8">
        <f t="shared" si="26"/>
        <v>-3374.5920000000006</v>
      </c>
      <c r="K81" s="8">
        <f t="shared" si="26"/>
        <v>-2834.6572800000004</v>
      </c>
      <c r="L81" s="8">
        <f t="shared" si="26"/>
        <v>-2246.1284352000002</v>
      </c>
      <c r="M81" s="8">
        <f>M78-M79-M80</f>
        <v>161.8818871003906</v>
      </c>
      <c r="N81" s="8">
        <f t="shared" ref="N81:AP81" si="27">N78-N79-N80</f>
        <v>167.58822362067932</v>
      </c>
      <c r="O81" s="8">
        <f t="shared" si="27"/>
        <v>173.49570850330826</v>
      </c>
      <c r="P81" s="8">
        <f t="shared" si="27"/>
        <v>179.61143222804984</v>
      </c>
      <c r="Q81" s="8">
        <f t="shared" si="27"/>
        <v>185.94273521408857</v>
      </c>
      <c r="R81" s="8">
        <f t="shared" si="27"/>
        <v>192.4972166303852</v>
      </c>
      <c r="S81" s="8">
        <f t="shared" si="27"/>
        <v>199.28274351660627</v>
      </c>
      <c r="T81" s="8">
        <f t="shared" si="27"/>
        <v>206.30746022556662</v>
      </c>
      <c r="U81" s="8">
        <f t="shared" si="27"/>
        <v>213.57979819851781</v>
      </c>
      <c r="V81" s="8">
        <f t="shared" si="27"/>
        <v>221.10848608501553</v>
      </c>
      <c r="W81" s="8">
        <f t="shared" si="27"/>
        <v>228.90256021951234</v>
      </c>
      <c r="X81" s="8">
        <f t="shared" si="27"/>
        <v>236.97137546725008</v>
      </c>
      <c r="Y81" s="8">
        <f t="shared" si="27"/>
        <v>245.32461645247068</v>
      </c>
      <c r="Z81" s="8">
        <f t="shared" si="27"/>
        <v>253.97230918242022</v>
      </c>
      <c r="AA81" s="8">
        <f t="shared" si="27"/>
        <v>262.92483308110053</v>
      </c>
      <c r="AB81" s="8">
        <f t="shared" si="27"/>
        <v>272.19293344720927</v>
      </c>
      <c r="AC81" s="8">
        <f t="shared" si="27"/>
        <v>281.78773435122343</v>
      </c>
      <c r="AD81" s="8">
        <f t="shared" si="27"/>
        <v>291.72075198710399</v>
      </c>
      <c r="AE81" s="8">
        <f t="shared" si="27"/>
        <v>302.00390849464935</v>
      </c>
      <c r="AF81" s="8">
        <f t="shared" si="27"/>
        <v>312.6495462690857</v>
      </c>
      <c r="AG81" s="8">
        <f t="shared" si="27"/>
        <v>323.67044277507097</v>
      </c>
      <c r="AH81" s="8">
        <f t="shared" si="27"/>
        <v>335.07982588289229</v>
      </c>
      <c r="AI81" s="8">
        <f t="shared" si="27"/>
        <v>346.89138974526429</v>
      </c>
      <c r="AJ81" s="8">
        <f t="shared" si="27"/>
        <v>359.11931123378474</v>
      </c>
      <c r="AK81" s="8">
        <f t="shared" si="27"/>
        <v>371.77826695477557</v>
      </c>
      <c r="AL81" s="8">
        <f t="shared" si="27"/>
        <v>384.88345086493143</v>
      </c>
      <c r="AM81" s="8">
        <f t="shared" si="27"/>
        <v>398.45059250792019</v>
      </c>
      <c r="AN81" s="8">
        <f t="shared" si="27"/>
        <v>412.49597589382438</v>
      </c>
      <c r="AO81" s="8">
        <f t="shared" si="27"/>
        <v>427.0364590440816</v>
      </c>
      <c r="AP81" s="8">
        <f t="shared" si="27"/>
        <v>442.08949422538558</v>
      </c>
    </row>
    <row r="82" spans="3:42" x14ac:dyDescent="0.25">
      <c r="E82" s="6"/>
      <c r="F82" s="25"/>
      <c r="H82" s="25"/>
      <c r="I82" s="25"/>
      <c r="J82" s="25"/>
      <c r="K82" s="25"/>
      <c r="L82" s="8"/>
    </row>
    <row r="83" spans="3:42" x14ac:dyDescent="0.25">
      <c r="C83" t="s">
        <v>56</v>
      </c>
      <c r="F83" s="25"/>
      <c r="H83" s="25"/>
      <c r="I83" s="25"/>
      <c r="J83" s="25"/>
      <c r="K83" s="25"/>
      <c r="L83" s="8"/>
    </row>
    <row r="84" spans="3:42" x14ac:dyDescent="0.25">
      <c r="D84" t="s">
        <v>57</v>
      </c>
      <c r="E84" t="s">
        <v>21</v>
      </c>
      <c r="F84" s="25"/>
      <c r="H84" s="25">
        <f>H61</f>
        <v>1920</v>
      </c>
      <c r="I84" s="25">
        <f>I61</f>
        <v>250.81145294095995</v>
      </c>
      <c r="J84" s="25">
        <f>J61</f>
        <v>-78.330400852933508</v>
      </c>
      <c r="K84" s="25">
        <f>K61</f>
        <v>-78.330400852933508</v>
      </c>
      <c r="L84" s="25">
        <f>L61</f>
        <v>-78.330400852933508</v>
      </c>
    </row>
    <row r="85" spans="3:42" x14ac:dyDescent="0.25">
      <c r="D85" t="s">
        <v>33</v>
      </c>
      <c r="E85" t="s">
        <v>21</v>
      </c>
      <c r="F85" s="25"/>
      <c r="H85" s="25"/>
      <c r="I85" s="25"/>
      <c r="J85" s="25"/>
      <c r="K85" s="25"/>
      <c r="L85" s="25"/>
      <c r="M85" s="8">
        <f t="shared" ref="M85:AM85" si="28">M47</f>
        <v>-10.693348938943814</v>
      </c>
      <c r="N85" s="8">
        <f t="shared" si="28"/>
        <v>-7.4558720858486964</v>
      </c>
      <c r="O85" s="8">
        <f t="shared" si="28"/>
        <v>-3.9127100513127147</v>
      </c>
      <c r="P85" s="8">
        <f t="shared" si="28"/>
        <v>-4.293453420457638E-2</v>
      </c>
      <c r="Q85" s="8">
        <f t="shared" si="28"/>
        <v>4.1756585928417564</v>
      </c>
      <c r="R85" s="8">
        <f t="shared" si="28"/>
        <v>8.7666227757934365</v>
      </c>
      <c r="S85" s="8">
        <f t="shared" si="28"/>
        <v>13.754938373724571</v>
      </c>
      <c r="T85" s="8">
        <f t="shared" si="28"/>
        <v>19.16709458017219</v>
      </c>
      <c r="U85" s="8">
        <f t="shared" si="28"/>
        <v>25.031175908222096</v>
      </c>
      <c r="V85" s="8">
        <f t="shared" si="28"/>
        <v>31.376953489023023</v>
      </c>
      <c r="W85" s="8">
        <f t="shared" si="28"/>
        <v>38.235981446939121</v>
      </c>
      <c r="X85" s="8">
        <f t="shared" si="28"/>
        <v>45.641698628785392</v>
      </c>
      <c r="Y85" s="8">
        <f t="shared" si="28"/>
        <v>53.629535979591395</v>
      </c>
      <c r="Z85" s="8">
        <f t="shared" si="28"/>
        <v>62.237029873142788</v>
      </c>
      <c r="AA85" s="8">
        <f t="shared" si="28"/>
        <v>71.503941722206207</v>
      </c>
      <c r="AB85" s="8">
        <f t="shared" si="28"/>
        <v>81.472384210888976</v>
      </c>
      <c r="AC85" s="8">
        <f t="shared" si="28"/>
        <v>92.186954510075523</v>
      </c>
      <c r="AD85" s="8">
        <f t="shared" si="28"/>
        <v>103.69487485636324</v>
      </c>
      <c r="AE85" s="8">
        <f t="shared" si="28"/>
        <v>116.04614089544741</v>
      </c>
      <c r="AF85" s="8">
        <f t="shared" si="28"/>
        <v>129.29367821253035</v>
      </c>
      <c r="AG85" s="8">
        <f t="shared" si="28"/>
        <v>143.49350749511797</v>
      </c>
      <c r="AH85" s="8">
        <f t="shared" si="28"/>
        <v>158.70491879757344</v>
      </c>
      <c r="AI85" s="8">
        <f t="shared" si="28"/>
        <v>174.99065540209284</v>
      </c>
      <c r="AJ85" s="8">
        <f t="shared" si="28"/>
        <v>192.41710779741737</v>
      </c>
      <c r="AK85" s="8">
        <f t="shared" si="28"/>
        <v>211.05451832467438</v>
      </c>
      <c r="AL85" s="8">
        <f t="shared" si="28"/>
        <v>230.9771970693194</v>
      </c>
      <c r="AM85" s="8">
        <f t="shared" si="28"/>
        <v>252.26374960931918</v>
      </c>
      <c r="AN85" s="8"/>
      <c r="AO85" s="8"/>
      <c r="AP85" s="8"/>
    </row>
    <row r="86" spans="3:42" x14ac:dyDescent="0.25">
      <c r="D86" t="s">
        <v>58</v>
      </c>
      <c r="E86" t="s">
        <v>21</v>
      </c>
      <c r="F86" s="26"/>
      <c r="H86" s="21"/>
      <c r="I86" s="21"/>
      <c r="J86" s="21"/>
      <c r="K86" s="21"/>
      <c r="L86" s="21"/>
      <c r="M86" s="28">
        <f>M52</f>
        <v>118.61460700587088</v>
      </c>
      <c r="N86" s="28">
        <f t="shared" ref="N86:AM86" si="29">N52</f>
        <v>119.18135449963491</v>
      </c>
      <c r="O86" s="28">
        <f t="shared" si="29"/>
        <v>119.57651572018489</v>
      </c>
      <c r="P86" s="28">
        <f t="shared" si="29"/>
        <v>119.78388935290447</v>
      </c>
      <c r="Q86" s="28">
        <f t="shared" si="29"/>
        <v>119.7861648832173</v>
      </c>
      <c r="R86" s="28">
        <f t="shared" si="29"/>
        <v>119.56485497779668</v>
      </c>
      <c r="S86" s="28">
        <f t="shared" si="29"/>
        <v>119.10022397067962</v>
      </c>
      <c r="T86" s="28">
        <f t="shared" si="29"/>
        <v>118.37121223687221</v>
      </c>
      <c r="U86" s="28">
        <f t="shared" si="29"/>
        <v>117.3553562241231</v>
      </c>
      <c r="V86" s="28">
        <f t="shared" si="29"/>
        <v>116.02870390098734</v>
      </c>
      <c r="W86" s="28">
        <f t="shared" si="29"/>
        <v>114.36572536606911</v>
      </c>
      <c r="X86" s="28">
        <f t="shared" si="29"/>
        <v>112.33921834938134</v>
      </c>
      <c r="Y86" s="28">
        <f t="shared" si="29"/>
        <v>109.92020832205571</v>
      </c>
      <c r="Z86" s="28">
        <f t="shared" si="29"/>
        <v>107.07784291513737</v>
      </c>
      <c r="AA86" s="28">
        <f t="shared" si="29"/>
        <v>103.7792803318608</v>
      </c>
      <c r="AB86" s="28">
        <f t="shared" si="29"/>
        <v>99.989571420583871</v>
      </c>
      <c r="AC86" s="28">
        <f t="shared" si="29"/>
        <v>95.671535057406757</v>
      </c>
      <c r="AD86" s="28">
        <f t="shared" si="29"/>
        <v>90.785626468372755</v>
      </c>
      <c r="AE86" s="28">
        <f t="shared" si="29"/>
        <v>85.289798100985493</v>
      </c>
      <c r="AF86" s="28">
        <f t="shared" si="29"/>
        <v>79.139352633526784</v>
      </c>
      <c r="AG86" s="28">
        <f t="shared" si="29"/>
        <v>72.286787688262677</v>
      </c>
      <c r="AH86" s="28">
        <f t="shared" si="29"/>
        <v>64.681631791021431</v>
      </c>
      <c r="AI86" s="28">
        <f t="shared" si="29"/>
        <v>56.270271094750036</v>
      </c>
      <c r="AJ86" s="28">
        <f t="shared" si="29"/>
        <v>46.995766358439113</v>
      </c>
      <c r="AK86" s="28">
        <f t="shared" si="29"/>
        <v>36.79765964517599</v>
      </c>
      <c r="AL86" s="28">
        <f t="shared" si="29"/>
        <v>25.611770173968246</v>
      </c>
      <c r="AM86" s="28">
        <f t="shared" si="29"/>
        <v>13.369978729294315</v>
      </c>
      <c r="AN86" s="8"/>
      <c r="AO86" s="8"/>
      <c r="AP86" s="8"/>
    </row>
    <row r="87" spans="3:42" x14ac:dyDescent="0.25">
      <c r="D87" t="s">
        <v>59</v>
      </c>
      <c r="E87" t="s">
        <v>21</v>
      </c>
      <c r="F87" s="26"/>
      <c r="H87" s="25">
        <f t="shared" ref="H87:L87" si="30">H84-H85-H86</f>
        <v>1920</v>
      </c>
      <c r="I87" s="25">
        <f t="shared" si="30"/>
        <v>250.81145294095995</v>
      </c>
      <c r="J87" s="25">
        <f t="shared" si="30"/>
        <v>-78.330400852933508</v>
      </c>
      <c r="K87" s="25">
        <f t="shared" si="30"/>
        <v>-78.330400852933508</v>
      </c>
      <c r="L87" s="25">
        <f t="shared" si="30"/>
        <v>-78.330400852933508</v>
      </c>
      <c r="M87" s="25">
        <f>M84-M85-M86</f>
        <v>-107.92125806692707</v>
      </c>
      <c r="N87" s="25">
        <f t="shared" ref="N87:AM87" si="31">N84-N85-N86</f>
        <v>-111.72548241378621</v>
      </c>
      <c r="O87" s="25">
        <f t="shared" si="31"/>
        <v>-115.66380566887217</v>
      </c>
      <c r="P87" s="25">
        <f t="shared" si="31"/>
        <v>-119.74095481869989</v>
      </c>
      <c r="Q87" s="25">
        <f t="shared" si="31"/>
        <v>-123.96182347605905</v>
      </c>
      <c r="R87" s="25">
        <f t="shared" si="31"/>
        <v>-128.33147775359012</v>
      </c>
      <c r="S87" s="25">
        <f t="shared" si="31"/>
        <v>-132.85516234440419</v>
      </c>
      <c r="T87" s="25">
        <f t="shared" si="31"/>
        <v>-137.5383068170444</v>
      </c>
      <c r="U87" s="25">
        <f t="shared" si="31"/>
        <v>-142.3865321323452</v>
      </c>
      <c r="V87" s="25">
        <f t="shared" si="31"/>
        <v>-147.40565739001036</v>
      </c>
      <c r="W87" s="25">
        <f t="shared" si="31"/>
        <v>-152.60170681300824</v>
      </c>
      <c r="X87" s="25">
        <f t="shared" si="31"/>
        <v>-157.98091697816673</v>
      </c>
      <c r="Y87" s="25">
        <f t="shared" si="31"/>
        <v>-163.54974430164711</v>
      </c>
      <c r="Z87" s="25">
        <f t="shared" si="31"/>
        <v>-169.31487278828016</v>
      </c>
      <c r="AA87" s="25">
        <f t="shared" si="31"/>
        <v>-175.28322205406701</v>
      </c>
      <c r="AB87" s="25">
        <f t="shared" si="31"/>
        <v>-181.46195563147285</v>
      </c>
      <c r="AC87" s="25">
        <f t="shared" si="31"/>
        <v>-187.85848956748228</v>
      </c>
      <c r="AD87" s="25">
        <f t="shared" si="31"/>
        <v>-194.480501324736</v>
      </c>
      <c r="AE87" s="25">
        <f t="shared" si="31"/>
        <v>-201.3359389964329</v>
      </c>
      <c r="AF87" s="25">
        <f t="shared" si="31"/>
        <v>-208.43303084605714</v>
      </c>
      <c r="AG87" s="25">
        <f t="shared" si="31"/>
        <v>-215.78029518338064</v>
      </c>
      <c r="AH87" s="25">
        <f t="shared" si="31"/>
        <v>-223.38655058859487</v>
      </c>
      <c r="AI87" s="25">
        <f t="shared" si="31"/>
        <v>-231.26092649684287</v>
      </c>
      <c r="AJ87" s="25">
        <f t="shared" si="31"/>
        <v>-239.41287415585649</v>
      </c>
      <c r="AK87" s="25">
        <f t="shared" si="31"/>
        <v>-247.85217796985037</v>
      </c>
      <c r="AL87" s="25">
        <f t="shared" si="31"/>
        <v>-256.58896724328764</v>
      </c>
      <c r="AM87" s="25">
        <f t="shared" si="31"/>
        <v>-265.63372833861348</v>
      </c>
      <c r="AN87" s="26"/>
      <c r="AO87" s="26"/>
      <c r="AP87" s="26"/>
    </row>
    <row r="88" spans="3:42" x14ac:dyDescent="0.25">
      <c r="F88" s="26"/>
      <c r="H88" s="25"/>
      <c r="I88" s="25"/>
      <c r="J88" s="25"/>
      <c r="K88" s="25"/>
      <c r="L88" s="8"/>
    </row>
    <row r="89" spans="3:42" x14ac:dyDescent="0.25">
      <c r="C89" t="s">
        <v>60</v>
      </c>
      <c r="F89" s="26"/>
      <c r="H89" s="25"/>
      <c r="I89" s="25"/>
      <c r="J89" s="25"/>
      <c r="K89" s="25"/>
      <c r="L89" s="8"/>
    </row>
    <row r="90" spans="3:42" x14ac:dyDescent="0.25">
      <c r="D90" t="s">
        <v>61</v>
      </c>
      <c r="E90" t="s">
        <v>21</v>
      </c>
      <c r="F90" s="26"/>
      <c r="H90" s="25">
        <f>-H67</f>
        <v>0</v>
      </c>
      <c r="I90" s="25">
        <f t="shared" ref="I90:L90" si="32">-I67</f>
        <v>-2369.9885470590402</v>
      </c>
      <c r="J90" s="25">
        <f t="shared" si="32"/>
        <v>-3452.9224008529341</v>
      </c>
      <c r="K90" s="25">
        <f t="shared" si="32"/>
        <v>-2912.9876808529339</v>
      </c>
      <c r="L90" s="25">
        <f t="shared" si="32"/>
        <v>-2324.4588360529337</v>
      </c>
    </row>
    <row r="91" spans="3:42" x14ac:dyDescent="0.25">
      <c r="D91" t="s">
        <v>62</v>
      </c>
      <c r="E91" t="s">
        <v>21</v>
      </c>
      <c r="F91" s="26"/>
      <c r="H91" s="25"/>
      <c r="I91" s="25"/>
      <c r="J91" s="25"/>
      <c r="K91" s="25"/>
      <c r="L91" s="25"/>
      <c r="M91" s="8">
        <f>M81+M87</f>
        <v>53.960629033463533</v>
      </c>
      <c r="N91" s="8">
        <f t="shared" ref="N91:AP91" si="33">N81+N87</f>
        <v>55.862741206893105</v>
      </c>
      <c r="O91" s="8">
        <f t="shared" si="33"/>
        <v>57.831902834436093</v>
      </c>
      <c r="P91" s="8">
        <f t="shared" si="33"/>
        <v>59.870477409349945</v>
      </c>
      <c r="Q91" s="8">
        <f t="shared" si="33"/>
        <v>61.980911738029519</v>
      </c>
      <c r="R91" s="8">
        <f t="shared" si="33"/>
        <v>64.165738876795075</v>
      </c>
      <c r="S91" s="8">
        <f t="shared" si="33"/>
        <v>66.427581172202082</v>
      </c>
      <c r="T91" s="8">
        <f t="shared" si="33"/>
        <v>68.769153408522214</v>
      </c>
      <c r="U91" s="8">
        <f t="shared" si="33"/>
        <v>71.193266066172612</v>
      </c>
      <c r="V91" s="8">
        <f t="shared" si="33"/>
        <v>73.702828695005167</v>
      </c>
      <c r="W91" s="8">
        <f t="shared" si="33"/>
        <v>76.300853406504103</v>
      </c>
      <c r="X91" s="8">
        <f t="shared" si="33"/>
        <v>78.990458489083352</v>
      </c>
      <c r="Y91" s="8">
        <f t="shared" si="33"/>
        <v>81.774872150823569</v>
      </c>
      <c r="Z91" s="8">
        <f t="shared" si="33"/>
        <v>84.657436394140063</v>
      </c>
      <c r="AA91" s="8">
        <f t="shared" si="33"/>
        <v>87.64161102703352</v>
      </c>
      <c r="AB91" s="8">
        <f t="shared" si="33"/>
        <v>90.730977815736424</v>
      </c>
      <c r="AC91" s="8">
        <f t="shared" si="33"/>
        <v>93.929244783741154</v>
      </c>
      <c r="AD91" s="8">
        <f t="shared" si="33"/>
        <v>97.240250662367998</v>
      </c>
      <c r="AE91" s="8">
        <f t="shared" si="33"/>
        <v>100.66796949821645</v>
      </c>
      <c r="AF91" s="8">
        <f t="shared" si="33"/>
        <v>104.21651542302857</v>
      </c>
      <c r="AG91" s="8">
        <f t="shared" si="33"/>
        <v>107.89014759169032</v>
      </c>
      <c r="AH91" s="8">
        <f t="shared" si="33"/>
        <v>111.69327529429742</v>
      </c>
      <c r="AI91" s="8">
        <f t="shared" si="33"/>
        <v>115.63046324842142</v>
      </c>
      <c r="AJ91" s="8">
        <f t="shared" si="33"/>
        <v>119.70643707792826</v>
      </c>
      <c r="AK91" s="8">
        <f t="shared" si="33"/>
        <v>123.9260889849252</v>
      </c>
      <c r="AL91" s="8">
        <f t="shared" si="33"/>
        <v>128.29448362164379</v>
      </c>
      <c r="AM91" s="8">
        <f t="shared" si="33"/>
        <v>132.81686416930671</v>
      </c>
      <c r="AN91" s="8">
        <f t="shared" si="33"/>
        <v>412.49597589382438</v>
      </c>
      <c r="AO91" s="8">
        <f t="shared" si="33"/>
        <v>427.0364590440816</v>
      </c>
      <c r="AP91" s="8">
        <f t="shared" si="33"/>
        <v>442.08949422538558</v>
      </c>
    </row>
    <row r="92" spans="3:42" x14ac:dyDescent="0.25">
      <c r="D92" t="s">
        <v>63</v>
      </c>
      <c r="E92" t="s">
        <v>21</v>
      </c>
      <c r="H92" s="28"/>
      <c r="I92" s="28"/>
      <c r="J92" s="28"/>
      <c r="K92" s="28"/>
      <c r="L92" s="28"/>
      <c r="M92" s="28">
        <f>M91</f>
        <v>53.960629033463533</v>
      </c>
      <c r="N92" s="28">
        <f t="shared" ref="N92:AP92" si="34">N91</f>
        <v>55.862741206893105</v>
      </c>
      <c r="O92" s="28">
        <f t="shared" si="34"/>
        <v>57.831902834436093</v>
      </c>
      <c r="P92" s="28">
        <f t="shared" si="34"/>
        <v>59.870477409349945</v>
      </c>
      <c r="Q92" s="28">
        <f t="shared" si="34"/>
        <v>61.980911738029519</v>
      </c>
      <c r="R92" s="28">
        <f t="shared" si="34"/>
        <v>64.165738876795075</v>
      </c>
      <c r="S92" s="28">
        <f t="shared" si="34"/>
        <v>66.427581172202082</v>
      </c>
      <c r="T92" s="28">
        <f t="shared" si="34"/>
        <v>68.769153408522214</v>
      </c>
      <c r="U92" s="28">
        <f t="shared" si="34"/>
        <v>71.193266066172612</v>
      </c>
      <c r="V92" s="28">
        <f t="shared" si="34"/>
        <v>73.702828695005167</v>
      </c>
      <c r="W92" s="28">
        <f t="shared" si="34"/>
        <v>76.300853406504103</v>
      </c>
      <c r="X92" s="28">
        <f t="shared" si="34"/>
        <v>78.990458489083352</v>
      </c>
      <c r="Y92" s="28">
        <f t="shared" si="34"/>
        <v>81.774872150823569</v>
      </c>
      <c r="Z92" s="28">
        <f t="shared" si="34"/>
        <v>84.657436394140063</v>
      </c>
      <c r="AA92" s="28">
        <f t="shared" si="34"/>
        <v>87.64161102703352</v>
      </c>
      <c r="AB92" s="28">
        <f t="shared" si="34"/>
        <v>90.730977815736424</v>
      </c>
      <c r="AC92" s="28">
        <f t="shared" si="34"/>
        <v>93.929244783741154</v>
      </c>
      <c r="AD92" s="28">
        <f t="shared" si="34"/>
        <v>97.240250662367998</v>
      </c>
      <c r="AE92" s="28">
        <f t="shared" si="34"/>
        <v>100.66796949821645</v>
      </c>
      <c r="AF92" s="28">
        <f t="shared" si="34"/>
        <v>104.21651542302857</v>
      </c>
      <c r="AG92" s="28">
        <f t="shared" si="34"/>
        <v>107.89014759169032</v>
      </c>
      <c r="AH92" s="28">
        <f t="shared" si="34"/>
        <v>111.69327529429742</v>
      </c>
      <c r="AI92" s="28">
        <f t="shared" si="34"/>
        <v>115.63046324842142</v>
      </c>
      <c r="AJ92" s="28">
        <f t="shared" si="34"/>
        <v>119.70643707792826</v>
      </c>
      <c r="AK92" s="28">
        <f t="shared" si="34"/>
        <v>123.9260889849252</v>
      </c>
      <c r="AL92" s="28">
        <f t="shared" si="34"/>
        <v>128.29448362164379</v>
      </c>
      <c r="AM92" s="28">
        <f t="shared" si="34"/>
        <v>132.81686416930671</v>
      </c>
      <c r="AN92" s="28">
        <f t="shared" si="34"/>
        <v>412.49597589382438</v>
      </c>
      <c r="AO92" s="28">
        <f t="shared" si="34"/>
        <v>427.0364590440816</v>
      </c>
      <c r="AP92" s="28">
        <f t="shared" si="34"/>
        <v>442.08949422538558</v>
      </c>
    </row>
    <row r="93" spans="3:42" x14ac:dyDescent="0.25">
      <c r="D93" t="s">
        <v>64</v>
      </c>
      <c r="E93" t="s">
        <v>21</v>
      </c>
      <c r="F93" s="26"/>
      <c r="H93" s="8">
        <f t="shared" ref="H93:AP93" si="35">H90+H92</f>
        <v>0</v>
      </c>
      <c r="I93" s="8">
        <f t="shared" si="35"/>
        <v>-2369.9885470590402</v>
      </c>
      <c r="J93" s="8">
        <f t="shared" si="35"/>
        <v>-3452.9224008529341</v>
      </c>
      <c r="K93" s="8">
        <f t="shared" si="35"/>
        <v>-2912.9876808529339</v>
      </c>
      <c r="L93" s="8">
        <f t="shared" si="35"/>
        <v>-2324.4588360529337</v>
      </c>
      <c r="M93" s="8">
        <f t="shared" si="35"/>
        <v>53.960629033463533</v>
      </c>
      <c r="N93" s="8">
        <f t="shared" si="35"/>
        <v>55.862741206893105</v>
      </c>
      <c r="O93" s="8">
        <f t="shared" si="35"/>
        <v>57.831902834436093</v>
      </c>
      <c r="P93" s="8">
        <f t="shared" si="35"/>
        <v>59.870477409349945</v>
      </c>
      <c r="Q93" s="8">
        <f t="shared" si="35"/>
        <v>61.980911738029519</v>
      </c>
      <c r="R93" s="8">
        <f t="shared" si="35"/>
        <v>64.165738876795075</v>
      </c>
      <c r="S93" s="8">
        <f t="shared" si="35"/>
        <v>66.427581172202082</v>
      </c>
      <c r="T93" s="8">
        <f t="shared" si="35"/>
        <v>68.769153408522214</v>
      </c>
      <c r="U93" s="8">
        <f t="shared" si="35"/>
        <v>71.193266066172612</v>
      </c>
      <c r="V93" s="8">
        <f t="shared" si="35"/>
        <v>73.702828695005167</v>
      </c>
      <c r="W93" s="8">
        <f t="shared" si="35"/>
        <v>76.300853406504103</v>
      </c>
      <c r="X93" s="8">
        <f t="shared" si="35"/>
        <v>78.990458489083352</v>
      </c>
      <c r="Y93" s="8">
        <f t="shared" si="35"/>
        <v>81.774872150823569</v>
      </c>
      <c r="Z93" s="8">
        <f t="shared" si="35"/>
        <v>84.657436394140063</v>
      </c>
      <c r="AA93" s="8">
        <f t="shared" si="35"/>
        <v>87.64161102703352</v>
      </c>
      <c r="AB93" s="8">
        <f t="shared" si="35"/>
        <v>90.730977815736424</v>
      </c>
      <c r="AC93" s="8">
        <f t="shared" si="35"/>
        <v>93.929244783741154</v>
      </c>
      <c r="AD93" s="8">
        <f t="shared" si="35"/>
        <v>97.240250662367998</v>
      </c>
      <c r="AE93" s="8">
        <f t="shared" si="35"/>
        <v>100.66796949821645</v>
      </c>
      <c r="AF93" s="8">
        <f t="shared" si="35"/>
        <v>104.21651542302857</v>
      </c>
      <c r="AG93" s="8">
        <f t="shared" si="35"/>
        <v>107.89014759169032</v>
      </c>
      <c r="AH93" s="8">
        <f t="shared" si="35"/>
        <v>111.69327529429742</v>
      </c>
      <c r="AI93" s="8">
        <f t="shared" si="35"/>
        <v>115.63046324842142</v>
      </c>
      <c r="AJ93" s="8">
        <f t="shared" si="35"/>
        <v>119.70643707792826</v>
      </c>
      <c r="AK93" s="8">
        <f t="shared" si="35"/>
        <v>123.9260889849252</v>
      </c>
      <c r="AL93" s="8">
        <f t="shared" si="35"/>
        <v>128.29448362164379</v>
      </c>
      <c r="AM93" s="8">
        <f t="shared" si="35"/>
        <v>132.81686416930671</v>
      </c>
      <c r="AN93" s="8">
        <f t="shared" si="35"/>
        <v>412.49597589382438</v>
      </c>
      <c r="AO93" s="8">
        <f t="shared" si="35"/>
        <v>427.0364590440816</v>
      </c>
      <c r="AP93" s="8">
        <f t="shared" si="35"/>
        <v>442.08949422538558</v>
      </c>
    </row>
    <row r="94" spans="3:42" x14ac:dyDescent="0.25">
      <c r="H94" s="25"/>
      <c r="I94" s="25"/>
      <c r="J94" s="25"/>
      <c r="K94" s="25"/>
      <c r="L94" s="25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</row>
    <row r="95" spans="3:42" x14ac:dyDescent="0.25">
      <c r="D95" t="s">
        <v>65</v>
      </c>
      <c r="E95" t="str">
        <f>IF(F95=0, "Yes", "No")</f>
        <v>Yes</v>
      </c>
      <c r="F95" s="8">
        <f>SUM(H95:AP95)</f>
        <v>0</v>
      </c>
      <c r="H95" s="8">
        <f t="shared" ref="H95:AP95" si="36">H81+H87-H93</f>
        <v>0</v>
      </c>
      <c r="I95" s="8">
        <f t="shared" si="36"/>
        <v>0</v>
      </c>
      <c r="J95" s="8">
        <f t="shared" si="36"/>
        <v>0</v>
      </c>
      <c r="K95" s="8">
        <f t="shared" si="36"/>
        <v>0</v>
      </c>
      <c r="L95" s="8">
        <f t="shared" si="36"/>
        <v>0</v>
      </c>
      <c r="M95" s="8">
        <f>M81+M87-M93</f>
        <v>0</v>
      </c>
      <c r="N95" s="8">
        <f t="shared" si="36"/>
        <v>0</v>
      </c>
      <c r="O95" s="8">
        <f t="shared" si="36"/>
        <v>0</v>
      </c>
      <c r="P95" s="8">
        <f t="shared" si="36"/>
        <v>0</v>
      </c>
      <c r="Q95" s="8">
        <f t="shared" si="36"/>
        <v>0</v>
      </c>
      <c r="R95" s="8">
        <f t="shared" si="36"/>
        <v>0</v>
      </c>
      <c r="S95" s="8">
        <f t="shared" si="36"/>
        <v>0</v>
      </c>
      <c r="T95" s="8">
        <f t="shared" si="36"/>
        <v>0</v>
      </c>
      <c r="U95" s="8">
        <f t="shared" si="36"/>
        <v>0</v>
      </c>
      <c r="V95" s="8">
        <f t="shared" si="36"/>
        <v>0</v>
      </c>
      <c r="W95" s="8">
        <f t="shared" si="36"/>
        <v>0</v>
      </c>
      <c r="X95" s="8">
        <f t="shared" si="36"/>
        <v>0</v>
      </c>
      <c r="Y95" s="8">
        <f t="shared" si="36"/>
        <v>0</v>
      </c>
      <c r="Z95" s="8">
        <f t="shared" si="36"/>
        <v>0</v>
      </c>
      <c r="AA95" s="8">
        <f t="shared" si="36"/>
        <v>0</v>
      </c>
      <c r="AB95" s="8">
        <f t="shared" si="36"/>
        <v>0</v>
      </c>
      <c r="AC95" s="8">
        <f t="shared" si="36"/>
        <v>0</v>
      </c>
      <c r="AD95" s="8">
        <f t="shared" si="36"/>
        <v>0</v>
      </c>
      <c r="AE95" s="8">
        <f t="shared" si="36"/>
        <v>0</v>
      </c>
      <c r="AF95" s="8">
        <f t="shared" si="36"/>
        <v>0</v>
      </c>
      <c r="AG95" s="8">
        <f t="shared" si="36"/>
        <v>0</v>
      </c>
      <c r="AH95" s="8">
        <f t="shared" si="36"/>
        <v>0</v>
      </c>
      <c r="AI95" s="8">
        <f t="shared" si="36"/>
        <v>0</v>
      </c>
      <c r="AJ95" s="8">
        <f t="shared" si="36"/>
        <v>0</v>
      </c>
      <c r="AK95" s="8">
        <f t="shared" si="36"/>
        <v>0</v>
      </c>
      <c r="AL95" s="8">
        <f t="shared" si="36"/>
        <v>0</v>
      </c>
      <c r="AM95" s="8">
        <f t="shared" si="36"/>
        <v>0</v>
      </c>
      <c r="AN95" s="8">
        <f t="shared" si="36"/>
        <v>0</v>
      </c>
      <c r="AO95" s="8">
        <f t="shared" si="36"/>
        <v>0</v>
      </c>
      <c r="AP95" s="8">
        <f t="shared" si="36"/>
        <v>0</v>
      </c>
    </row>
    <row r="97" spans="2:42" x14ac:dyDescent="0.25">
      <c r="B97" s="11" t="s">
        <v>66</v>
      </c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</row>
    <row r="99" spans="2:42" x14ac:dyDescent="0.25">
      <c r="C99" t="s">
        <v>67</v>
      </c>
      <c r="E99" t="s">
        <v>71</v>
      </c>
      <c r="G99" s="30">
        <f>IRR(H81:AP81)</f>
        <v>-2.0913964937132712E-2</v>
      </c>
    </row>
    <row r="100" spans="2:42" x14ac:dyDescent="0.25">
      <c r="C100" t="s">
        <v>68</v>
      </c>
      <c r="E100" t="s">
        <v>71</v>
      </c>
      <c r="G100" s="30">
        <f>IRR(H93:$AP$93)</f>
        <v>-4.5640672161859075E-2</v>
      </c>
    </row>
    <row r="101" spans="2:42" x14ac:dyDescent="0.25">
      <c r="C101" t="s">
        <v>69</v>
      </c>
      <c r="E101" t="s">
        <v>21</v>
      </c>
      <c r="G101" s="31">
        <f>NPV(F16,H93:AP93)</f>
        <v>-6997.1210936306179</v>
      </c>
    </row>
    <row r="102" spans="2:42" x14ac:dyDescent="0.25">
      <c r="G102" s="8"/>
    </row>
    <row r="103" spans="2:42" x14ac:dyDescent="0.25">
      <c r="C103" t="s">
        <v>70</v>
      </c>
      <c r="G103" s="8"/>
    </row>
    <row r="104" spans="2:42" x14ac:dyDescent="0.25">
      <c r="D104" t="s">
        <v>47</v>
      </c>
      <c r="E104" t="s">
        <v>71</v>
      </c>
      <c r="G104" s="32">
        <f>L71/L73</f>
        <v>0.16829217679111702</v>
      </c>
    </row>
    <row r="105" spans="2:42" x14ac:dyDescent="0.25">
      <c r="D105" t="s">
        <v>48</v>
      </c>
      <c r="E105" t="s">
        <v>71</v>
      </c>
      <c r="G105" s="32">
        <f>L72/L73</f>
        <v>0.83170782320888292</v>
      </c>
    </row>
    <row r="106" spans="2:42" x14ac:dyDescent="0.25">
      <c r="D106" t="s">
        <v>49</v>
      </c>
      <c r="E106" t="s">
        <v>71</v>
      </c>
      <c r="G106" s="32">
        <f>SUM(G104:G105)</f>
        <v>1</v>
      </c>
    </row>
    <row r="108" spans="2:42" x14ac:dyDescent="0.25"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32D8C-1227-4F51-BC94-635461349AC6}">
  <dimension ref="B2:AP124"/>
  <sheetViews>
    <sheetView topLeftCell="A86" workbookViewId="0">
      <selection activeCell="K120" sqref="K120"/>
    </sheetView>
  </sheetViews>
  <sheetFormatPr defaultRowHeight="15" x14ac:dyDescent="0.25"/>
  <cols>
    <col min="1" max="3" width="2.7109375" customWidth="1"/>
    <col min="4" max="4" width="34.140625" bestFit="1" customWidth="1"/>
    <col min="5" max="5" width="9.28515625" customWidth="1"/>
    <col min="7" max="42" width="8.7109375" customWidth="1"/>
  </cols>
  <sheetData>
    <row r="2" spans="2:42" x14ac:dyDescent="0.25">
      <c r="B2" s="9"/>
      <c r="C2" s="9"/>
      <c r="D2" s="10"/>
      <c r="E2" s="9"/>
      <c r="F2" s="9"/>
      <c r="G2" s="9">
        <v>2025</v>
      </c>
      <c r="H2" s="9">
        <v>2026</v>
      </c>
      <c r="I2" s="9">
        <v>2027</v>
      </c>
      <c r="J2" s="9">
        <v>2028</v>
      </c>
      <c r="K2" s="9">
        <v>2029</v>
      </c>
      <c r="L2" s="9">
        <v>2030</v>
      </c>
      <c r="M2" s="9">
        <v>2031</v>
      </c>
      <c r="N2" s="9">
        <v>2032</v>
      </c>
      <c r="O2" s="9">
        <v>2033</v>
      </c>
      <c r="P2" s="9">
        <v>2034</v>
      </c>
      <c r="Q2" s="9">
        <v>2035</v>
      </c>
      <c r="R2" s="9">
        <v>2036</v>
      </c>
      <c r="S2" s="9">
        <v>2037</v>
      </c>
      <c r="T2" s="9">
        <v>2038</v>
      </c>
      <c r="U2" s="9">
        <v>2039</v>
      </c>
      <c r="V2" s="9">
        <v>2040</v>
      </c>
      <c r="W2" s="9">
        <v>2041</v>
      </c>
      <c r="X2" s="9">
        <v>2042</v>
      </c>
      <c r="Y2" s="9">
        <v>2043</v>
      </c>
      <c r="Z2" s="9">
        <v>2044</v>
      </c>
      <c r="AA2" s="9">
        <v>2045</v>
      </c>
      <c r="AB2" s="9">
        <v>2046</v>
      </c>
      <c r="AC2" s="9">
        <v>2047</v>
      </c>
      <c r="AD2" s="9">
        <v>2048</v>
      </c>
      <c r="AE2" s="9">
        <v>2049</v>
      </c>
      <c r="AF2" s="9">
        <v>2050</v>
      </c>
      <c r="AG2" s="9">
        <v>2051</v>
      </c>
      <c r="AH2" s="9">
        <v>2052</v>
      </c>
      <c r="AI2" s="9">
        <v>2053</v>
      </c>
      <c r="AJ2" s="9">
        <v>2054</v>
      </c>
      <c r="AK2" s="9">
        <v>2055</v>
      </c>
      <c r="AL2" s="9">
        <v>2056</v>
      </c>
      <c r="AM2" s="9">
        <v>2057</v>
      </c>
      <c r="AN2" s="9">
        <v>2058</v>
      </c>
      <c r="AO2" s="9">
        <v>2059</v>
      </c>
      <c r="AP2" s="9">
        <v>2060</v>
      </c>
    </row>
    <row r="4" spans="2:42" x14ac:dyDescent="0.25">
      <c r="B4" s="11" t="s">
        <v>0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</row>
    <row r="6" spans="2:42" x14ac:dyDescent="0.25">
      <c r="D6" t="s">
        <v>1</v>
      </c>
      <c r="F6" s="13">
        <v>3.5000000000000003E-2</v>
      </c>
    </row>
    <row r="7" spans="2:42" x14ac:dyDescent="0.25">
      <c r="D7" t="s">
        <v>2</v>
      </c>
      <c r="F7" s="13">
        <v>2.5000000000000001E-2</v>
      </c>
    </row>
    <row r="8" spans="2:42" x14ac:dyDescent="0.25">
      <c r="D8" t="s">
        <v>3</v>
      </c>
      <c r="F8" s="13">
        <v>1.7999999999999999E-2</v>
      </c>
    </row>
    <row r="9" spans="2:42" x14ac:dyDescent="0.25">
      <c r="D9" t="s">
        <v>4</v>
      </c>
      <c r="F9" s="14">
        <v>2.5000000000000001E-2</v>
      </c>
    </row>
    <row r="10" spans="2:42" x14ac:dyDescent="0.25">
      <c r="D10" t="s">
        <v>5</v>
      </c>
      <c r="F10" s="14">
        <v>0.04</v>
      </c>
    </row>
    <row r="11" spans="2:42" x14ac:dyDescent="0.25">
      <c r="D11" t="s">
        <v>6</v>
      </c>
      <c r="F11" s="14">
        <v>0.01</v>
      </c>
    </row>
    <row r="12" spans="2:42" x14ac:dyDescent="0.25">
      <c r="D12" t="s">
        <v>7</v>
      </c>
      <c r="F12" s="15">
        <v>0.8</v>
      </c>
    </row>
    <row r="13" spans="2:42" x14ac:dyDescent="0.25">
      <c r="F13" s="16"/>
    </row>
    <row r="14" spans="2:42" x14ac:dyDescent="0.25">
      <c r="D14" t="s">
        <v>8</v>
      </c>
      <c r="F14" s="17">
        <v>1.5</v>
      </c>
    </row>
    <row r="15" spans="2:42" x14ac:dyDescent="0.25">
      <c r="D15" t="s">
        <v>9</v>
      </c>
      <c r="F15" s="15">
        <v>0.75</v>
      </c>
    </row>
    <row r="16" spans="2:42" x14ac:dyDescent="0.25">
      <c r="D16" t="s">
        <v>10</v>
      </c>
      <c r="F16" s="15">
        <v>0.13</v>
      </c>
    </row>
    <row r="17" spans="2:42" x14ac:dyDescent="0.25">
      <c r="F17" s="1"/>
    </row>
    <row r="18" spans="2:42" x14ac:dyDescent="0.25">
      <c r="D18" t="s">
        <v>11</v>
      </c>
      <c r="E18" t="s">
        <v>21</v>
      </c>
      <c r="F18" s="18">
        <v>12000</v>
      </c>
    </row>
    <row r="19" spans="2:42" x14ac:dyDescent="0.25">
      <c r="D19" t="s">
        <v>12</v>
      </c>
      <c r="F19" s="2">
        <f>SUM(H19:L19)</f>
        <v>1</v>
      </c>
      <c r="H19" s="15">
        <v>0.16</v>
      </c>
      <c r="I19" s="15">
        <v>0.21</v>
      </c>
      <c r="J19" s="15">
        <v>0.26</v>
      </c>
      <c r="K19" s="15">
        <v>0.21</v>
      </c>
      <c r="L19" s="15">
        <v>0.16</v>
      </c>
    </row>
    <row r="20" spans="2:42" x14ac:dyDescent="0.25">
      <c r="F20" s="1"/>
    </row>
    <row r="21" spans="2:42" x14ac:dyDescent="0.25">
      <c r="D21" t="s">
        <v>13</v>
      </c>
      <c r="M21" s="18">
        <v>70000</v>
      </c>
    </row>
    <row r="22" spans="2:42" x14ac:dyDescent="0.25">
      <c r="D22" t="s">
        <v>14</v>
      </c>
      <c r="E22" t="s">
        <v>21</v>
      </c>
      <c r="H22" s="19">
        <v>7</v>
      </c>
    </row>
    <row r="23" spans="2:42" x14ac:dyDescent="0.25">
      <c r="H23" s="3"/>
    </row>
    <row r="24" spans="2:42" x14ac:dyDescent="0.25">
      <c r="D24" t="s">
        <v>72</v>
      </c>
      <c r="M24" s="18">
        <v>140000</v>
      </c>
    </row>
    <row r="25" spans="2:42" x14ac:dyDescent="0.25">
      <c r="D25" t="s">
        <v>77</v>
      </c>
      <c r="E25" t="s">
        <v>21</v>
      </c>
      <c r="H25" s="19">
        <v>4</v>
      </c>
    </row>
    <row r="26" spans="2:42" x14ac:dyDescent="0.25">
      <c r="H26" s="3"/>
    </row>
    <row r="27" spans="2:42" x14ac:dyDescent="0.25">
      <c r="D27" t="s">
        <v>73</v>
      </c>
      <c r="M27" s="18">
        <v>80000</v>
      </c>
    </row>
    <row r="28" spans="2:42" x14ac:dyDescent="0.25">
      <c r="D28" t="s">
        <v>78</v>
      </c>
      <c r="E28" t="s">
        <v>21</v>
      </c>
      <c r="H28" s="19">
        <v>4</v>
      </c>
    </row>
    <row r="29" spans="2:42" x14ac:dyDescent="0.25">
      <c r="F29" s="1"/>
    </row>
    <row r="30" spans="2:42" x14ac:dyDescent="0.25">
      <c r="B30" s="11" t="s">
        <v>15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</row>
    <row r="31" spans="2:42" x14ac:dyDescent="0.25">
      <c r="F31" s="1"/>
    </row>
    <row r="32" spans="2:42" x14ac:dyDescent="0.25">
      <c r="C32" t="s">
        <v>16</v>
      </c>
      <c r="F32" s="1"/>
    </row>
    <row r="33" spans="3:42" x14ac:dyDescent="0.25">
      <c r="D33" t="s">
        <v>17</v>
      </c>
      <c r="H33" s="20">
        <v>1</v>
      </c>
      <c r="I33" s="20">
        <f>H33*(1+$F$10)</f>
        <v>1.04</v>
      </c>
      <c r="J33" s="20">
        <f t="shared" ref="J33:L33" si="0">I33*(1+$F$10)</f>
        <v>1.0816000000000001</v>
      </c>
      <c r="K33" s="20">
        <f t="shared" si="0"/>
        <v>1.1248640000000001</v>
      </c>
      <c r="L33" s="20">
        <f t="shared" si="0"/>
        <v>1.1698585600000002</v>
      </c>
    </row>
    <row r="34" spans="3:42" x14ac:dyDescent="0.25">
      <c r="D34" t="s">
        <v>18</v>
      </c>
      <c r="H34" s="20">
        <v>1</v>
      </c>
      <c r="I34" s="20">
        <f t="shared" ref="I34:M34" si="1">H34*(1+$F$9)</f>
        <v>1.0249999999999999</v>
      </c>
      <c r="J34" s="20">
        <f t="shared" si="1"/>
        <v>1.0506249999999999</v>
      </c>
      <c r="K34" s="20">
        <f t="shared" si="1"/>
        <v>1.0768906249999999</v>
      </c>
      <c r="L34" s="20">
        <f t="shared" si="1"/>
        <v>1.1038128906249998</v>
      </c>
      <c r="M34" s="20">
        <f t="shared" si="1"/>
        <v>1.1314082128906247</v>
      </c>
      <c r="N34" s="20">
        <f>M34*(1+$F$9)</f>
        <v>1.1596934182128902</v>
      </c>
      <c r="O34" s="20">
        <f t="shared" ref="O34:AP34" si="2">N34*(1+$F$9)</f>
        <v>1.1886857536682123</v>
      </c>
      <c r="P34" s="20">
        <f t="shared" si="2"/>
        <v>1.2184028975099175</v>
      </c>
      <c r="Q34" s="20">
        <f t="shared" si="2"/>
        <v>1.2488629699476652</v>
      </c>
      <c r="R34" s="20">
        <f t="shared" si="2"/>
        <v>1.2800845441963566</v>
      </c>
      <c r="S34" s="20">
        <f t="shared" si="2"/>
        <v>1.3120866578012655</v>
      </c>
      <c r="T34" s="20">
        <f t="shared" si="2"/>
        <v>1.3448888242462971</v>
      </c>
      <c r="U34" s="20">
        <f t="shared" si="2"/>
        <v>1.3785110448524545</v>
      </c>
      <c r="V34" s="20">
        <f t="shared" si="2"/>
        <v>1.4129738209737657</v>
      </c>
      <c r="W34" s="20">
        <f t="shared" si="2"/>
        <v>1.4482981664981096</v>
      </c>
      <c r="X34" s="20">
        <f t="shared" si="2"/>
        <v>1.4845056206605622</v>
      </c>
      <c r="Y34" s="20">
        <f t="shared" si="2"/>
        <v>1.5216182611770761</v>
      </c>
      <c r="Z34" s="20">
        <f t="shared" si="2"/>
        <v>1.5596587177065029</v>
      </c>
      <c r="AA34" s="20">
        <f t="shared" si="2"/>
        <v>1.5986501856491653</v>
      </c>
      <c r="AB34" s="20">
        <f t="shared" si="2"/>
        <v>1.6386164402903942</v>
      </c>
      <c r="AC34" s="20">
        <f t="shared" si="2"/>
        <v>1.6795818512976539</v>
      </c>
      <c r="AD34" s="20">
        <f t="shared" si="2"/>
        <v>1.721571397580095</v>
      </c>
      <c r="AE34" s="20">
        <f t="shared" si="2"/>
        <v>1.7646106825195973</v>
      </c>
      <c r="AF34" s="20">
        <f t="shared" si="2"/>
        <v>1.8087259495825871</v>
      </c>
      <c r="AG34" s="20">
        <f t="shared" si="2"/>
        <v>1.8539440983221516</v>
      </c>
      <c r="AH34" s="20">
        <f t="shared" si="2"/>
        <v>1.9002927007802053</v>
      </c>
      <c r="AI34" s="20">
        <f t="shared" si="2"/>
        <v>1.9478000182997102</v>
      </c>
      <c r="AJ34" s="20">
        <f t="shared" si="2"/>
        <v>1.9964950187572028</v>
      </c>
      <c r="AK34" s="20">
        <f t="shared" si="2"/>
        <v>2.0464073942261325</v>
      </c>
      <c r="AL34" s="20">
        <f t="shared" si="2"/>
        <v>2.0975675790817858</v>
      </c>
      <c r="AM34" s="20">
        <f t="shared" si="2"/>
        <v>2.1500067685588302</v>
      </c>
      <c r="AN34" s="20">
        <f t="shared" si="2"/>
        <v>2.2037569377728006</v>
      </c>
      <c r="AO34" s="20">
        <f t="shared" si="2"/>
        <v>2.2588508612171205</v>
      </c>
      <c r="AP34" s="20">
        <f t="shared" si="2"/>
        <v>2.3153221327475482</v>
      </c>
    </row>
    <row r="35" spans="3:42" x14ac:dyDescent="0.25">
      <c r="D35" t="s">
        <v>19</v>
      </c>
      <c r="H35" s="4"/>
      <c r="I35" s="4"/>
      <c r="J35" s="4"/>
      <c r="K35" s="4"/>
      <c r="L35" s="4"/>
      <c r="M35" s="5">
        <v>1</v>
      </c>
      <c r="N35" s="5">
        <f>M35*(1+$F$11)</f>
        <v>1.01</v>
      </c>
      <c r="O35" s="5">
        <f t="shared" ref="O35:AP35" si="3">N35*(1+$F$11)</f>
        <v>1.0201</v>
      </c>
      <c r="P35" s="5">
        <f t="shared" si="3"/>
        <v>1.0303009999999999</v>
      </c>
      <c r="Q35" s="5">
        <f t="shared" si="3"/>
        <v>1.04060401</v>
      </c>
      <c r="R35" s="5">
        <f t="shared" si="3"/>
        <v>1.0510100500999999</v>
      </c>
      <c r="S35" s="5">
        <f t="shared" si="3"/>
        <v>1.0615201506009999</v>
      </c>
      <c r="T35" s="5">
        <f t="shared" si="3"/>
        <v>1.0721353521070098</v>
      </c>
      <c r="U35" s="5">
        <f t="shared" si="3"/>
        <v>1.08285670562808</v>
      </c>
      <c r="V35" s="5">
        <f t="shared" si="3"/>
        <v>1.0936852726843609</v>
      </c>
      <c r="W35" s="5">
        <f t="shared" si="3"/>
        <v>1.1046221254112045</v>
      </c>
      <c r="X35" s="5">
        <f t="shared" si="3"/>
        <v>1.1156683466653166</v>
      </c>
      <c r="Y35" s="5">
        <f t="shared" si="3"/>
        <v>1.1268250301319698</v>
      </c>
      <c r="Z35" s="5">
        <f t="shared" si="3"/>
        <v>1.1380932804332895</v>
      </c>
      <c r="AA35" s="5">
        <f t="shared" si="3"/>
        <v>1.1494742132376223</v>
      </c>
      <c r="AB35" s="5">
        <f t="shared" si="3"/>
        <v>1.1609689553699987</v>
      </c>
      <c r="AC35" s="5">
        <f t="shared" si="3"/>
        <v>1.1725786449236986</v>
      </c>
      <c r="AD35" s="5">
        <f t="shared" si="3"/>
        <v>1.1843044313729356</v>
      </c>
      <c r="AE35" s="5">
        <f t="shared" si="3"/>
        <v>1.196147475686665</v>
      </c>
      <c r="AF35" s="5">
        <f t="shared" si="3"/>
        <v>1.2081089504435316</v>
      </c>
      <c r="AG35" s="5">
        <f t="shared" si="3"/>
        <v>1.220190039947967</v>
      </c>
      <c r="AH35" s="5">
        <f t="shared" si="3"/>
        <v>1.2323919403474468</v>
      </c>
      <c r="AI35" s="5">
        <f t="shared" si="3"/>
        <v>1.2447158597509214</v>
      </c>
      <c r="AJ35" s="5">
        <f t="shared" si="3"/>
        <v>1.2571630183484306</v>
      </c>
      <c r="AK35" s="5">
        <f t="shared" si="3"/>
        <v>1.269734648531915</v>
      </c>
      <c r="AL35" s="5">
        <f t="shared" si="3"/>
        <v>1.282431995017234</v>
      </c>
      <c r="AM35" s="5">
        <f t="shared" si="3"/>
        <v>1.2952563149674063</v>
      </c>
      <c r="AN35" s="5">
        <f t="shared" si="3"/>
        <v>1.3082088781170804</v>
      </c>
      <c r="AO35" s="5">
        <f t="shared" si="3"/>
        <v>1.3212909668982513</v>
      </c>
      <c r="AP35" s="5">
        <f t="shared" si="3"/>
        <v>1.3345038765672339</v>
      </c>
    </row>
    <row r="37" spans="3:42" x14ac:dyDescent="0.25">
      <c r="C37" t="s">
        <v>20</v>
      </c>
      <c r="E37" t="s">
        <v>21</v>
      </c>
      <c r="H37" s="21">
        <f>$F$18*H19*H33</f>
        <v>1920</v>
      </c>
      <c r="I37" s="21">
        <f>$F$18*I19*I33</f>
        <v>2620.8000000000002</v>
      </c>
      <c r="J37" s="21">
        <f>$F$18*J19*J33</f>
        <v>3374.5920000000006</v>
      </c>
      <c r="K37" s="21">
        <f>$F$18*K19*K33</f>
        <v>2834.6572800000004</v>
      </c>
      <c r="L37" s="21">
        <f>$F$18*L19*L33</f>
        <v>2246.1284352000002</v>
      </c>
    </row>
    <row r="40" spans="3:42" x14ac:dyDescent="0.25">
      <c r="C40" t="s">
        <v>79</v>
      </c>
      <c r="E40" s="22" t="s">
        <v>23</v>
      </c>
      <c r="M40" s="7">
        <f>M35*$M$21*365/1000000</f>
        <v>25.55</v>
      </c>
      <c r="N40" s="7">
        <f>N35*$M$21*365/1000000</f>
        <v>25.805499999999999</v>
      </c>
      <c r="O40" s="7">
        <f>O35*$M$21*365/1000000</f>
        <v>26.063555000000001</v>
      </c>
      <c r="P40" s="7">
        <f>P35*$M$21*365/1000000</f>
        <v>26.324190549999997</v>
      </c>
      <c r="Q40" s="7">
        <f t="shared" ref="Q40:AP40" si="4">Q35*$M$21*365/1000000</f>
        <v>26.5874324555</v>
      </c>
      <c r="R40" s="7">
        <f t="shared" si="4"/>
        <v>26.853306780054996</v>
      </c>
      <c r="S40" s="7">
        <f t="shared" si="4"/>
        <v>27.121839847855547</v>
      </c>
      <c r="T40" s="7">
        <f t="shared" si="4"/>
        <v>27.393058246334103</v>
      </c>
      <c r="U40" s="7">
        <f t="shared" si="4"/>
        <v>27.666988828797443</v>
      </c>
      <c r="V40" s="7">
        <f t="shared" si="4"/>
        <v>27.94365871708542</v>
      </c>
      <c r="W40" s="7">
        <f t="shared" si="4"/>
        <v>28.223095304256276</v>
      </c>
      <c r="X40" s="7">
        <f t="shared" si="4"/>
        <v>28.505326257298833</v>
      </c>
      <c r="Y40" s="7">
        <f t="shared" si="4"/>
        <v>28.790379519871831</v>
      </c>
      <c r="Z40" s="7">
        <f t="shared" si="4"/>
        <v>29.078283315070543</v>
      </c>
      <c r="AA40" s="7">
        <f t="shared" si="4"/>
        <v>29.369066148221247</v>
      </c>
      <c r="AB40" s="7">
        <f t="shared" si="4"/>
        <v>29.662756809703467</v>
      </c>
      <c r="AC40" s="7">
        <f t="shared" si="4"/>
        <v>29.9593843778005</v>
      </c>
      <c r="AD40" s="7">
        <f t="shared" si="4"/>
        <v>30.258978221578506</v>
      </c>
      <c r="AE40" s="7">
        <f t="shared" si="4"/>
        <v>30.561568003794289</v>
      </c>
      <c r="AF40" s="7">
        <f t="shared" si="4"/>
        <v>30.867183683832231</v>
      </c>
      <c r="AG40" s="7">
        <f t="shared" si="4"/>
        <v>31.175855520670556</v>
      </c>
      <c r="AH40" s="7">
        <f t="shared" si="4"/>
        <v>31.487614075877268</v>
      </c>
      <c r="AI40" s="7">
        <f t="shared" si="4"/>
        <v>31.802490216636045</v>
      </c>
      <c r="AJ40" s="7">
        <f t="shared" si="4"/>
        <v>32.120515118802402</v>
      </c>
      <c r="AK40" s="7">
        <f t="shared" si="4"/>
        <v>32.441720269990427</v>
      </c>
      <c r="AL40" s="7">
        <f t="shared" si="4"/>
        <v>32.766137472690332</v>
      </c>
      <c r="AM40" s="7">
        <f t="shared" si="4"/>
        <v>33.093798847417233</v>
      </c>
      <c r="AN40" s="7">
        <f t="shared" si="4"/>
        <v>33.424736835891409</v>
      </c>
      <c r="AO40" s="7">
        <f t="shared" si="4"/>
        <v>33.758984204250318</v>
      </c>
      <c r="AP40" s="7">
        <f t="shared" si="4"/>
        <v>34.09657404629283</v>
      </c>
    </row>
    <row r="41" spans="3:42" x14ac:dyDescent="0.25">
      <c r="C41" t="s">
        <v>80</v>
      </c>
      <c r="E41" s="23" t="s">
        <v>25</v>
      </c>
      <c r="H41" s="24">
        <f>H22</f>
        <v>7</v>
      </c>
      <c r="I41" s="24">
        <f t="shared" ref="I41:AP41" si="5">$H$22*I34</f>
        <v>7.1749999999999989</v>
      </c>
      <c r="J41" s="24">
        <f t="shared" si="5"/>
        <v>7.3543749999999992</v>
      </c>
      <c r="K41" s="24">
        <f t="shared" si="5"/>
        <v>7.5382343749999992</v>
      </c>
      <c r="L41" s="24">
        <f t="shared" si="5"/>
        <v>7.7266902343749981</v>
      </c>
      <c r="M41" s="24">
        <f t="shared" si="5"/>
        <v>7.9198574902343726</v>
      </c>
      <c r="N41" s="24">
        <f t="shared" si="5"/>
        <v>8.1178539274902306</v>
      </c>
      <c r="O41" s="24">
        <f t="shared" si="5"/>
        <v>8.3208002756774864</v>
      </c>
      <c r="P41" s="24">
        <f t="shared" si="5"/>
        <v>8.5288202825694217</v>
      </c>
      <c r="Q41" s="24">
        <f t="shared" si="5"/>
        <v>8.7420407896336556</v>
      </c>
      <c r="R41" s="24">
        <f t="shared" si="5"/>
        <v>8.9605918093744972</v>
      </c>
      <c r="S41" s="24">
        <f t="shared" si="5"/>
        <v>9.1846066046088595</v>
      </c>
      <c r="T41" s="24">
        <f t="shared" si="5"/>
        <v>9.4142217697240795</v>
      </c>
      <c r="U41" s="24">
        <f t="shared" si="5"/>
        <v>9.6495773139671819</v>
      </c>
      <c r="V41" s="24">
        <f t="shared" si="5"/>
        <v>9.890816746816359</v>
      </c>
      <c r="W41" s="24">
        <f t="shared" si="5"/>
        <v>10.138087165486768</v>
      </c>
      <c r="X41" s="24">
        <f t="shared" si="5"/>
        <v>10.391539344623936</v>
      </c>
      <c r="Y41" s="24">
        <f t="shared" si="5"/>
        <v>10.651327828239532</v>
      </c>
      <c r="Z41" s="24">
        <f t="shared" si="5"/>
        <v>10.91761102394552</v>
      </c>
      <c r="AA41" s="24">
        <f t="shared" si="5"/>
        <v>11.190551299544158</v>
      </c>
      <c r="AB41" s="24">
        <f t="shared" si="5"/>
        <v>11.470315082032759</v>
      </c>
      <c r="AC41" s="24">
        <f t="shared" si="5"/>
        <v>11.757072959083578</v>
      </c>
      <c r="AD41" s="24">
        <f t="shared" si="5"/>
        <v>12.050999783060664</v>
      </c>
      <c r="AE41" s="24">
        <f t="shared" si="5"/>
        <v>12.352274777637181</v>
      </c>
      <c r="AF41" s="24">
        <f t="shared" si="5"/>
        <v>12.66108164707811</v>
      </c>
      <c r="AG41" s="24">
        <f t="shared" si="5"/>
        <v>12.97760868825506</v>
      </c>
      <c r="AH41" s="24">
        <f t="shared" si="5"/>
        <v>13.302048905461437</v>
      </c>
      <c r="AI41" s="24">
        <f t="shared" si="5"/>
        <v>13.634600128097972</v>
      </c>
      <c r="AJ41" s="24">
        <f t="shared" si="5"/>
        <v>13.975465131300419</v>
      </c>
      <c r="AK41" s="24">
        <f t="shared" si="5"/>
        <v>14.324851759582927</v>
      </c>
      <c r="AL41" s="24">
        <f t="shared" si="5"/>
        <v>14.6829730535725</v>
      </c>
      <c r="AM41" s="24">
        <f t="shared" si="5"/>
        <v>15.050047379911812</v>
      </c>
      <c r="AN41" s="24">
        <f t="shared" si="5"/>
        <v>15.426298564409604</v>
      </c>
      <c r="AO41" s="24">
        <f t="shared" si="5"/>
        <v>15.811956028519845</v>
      </c>
      <c r="AP41" s="24">
        <f t="shared" si="5"/>
        <v>16.207254929232839</v>
      </c>
    </row>
    <row r="42" spans="3:42" x14ac:dyDescent="0.25">
      <c r="C42" t="s">
        <v>81</v>
      </c>
      <c r="E42" t="s">
        <v>21</v>
      </c>
      <c r="F42" s="8">
        <f>SUM(M42:AP42)</f>
        <v>10489.051836753206</v>
      </c>
      <c r="M42" s="25">
        <f t="shared" ref="M42:AP42" si="6">M41*M40</f>
        <v>202.35235887548822</v>
      </c>
      <c r="N42" s="25">
        <f t="shared" si="6"/>
        <v>209.48527952584914</v>
      </c>
      <c r="O42" s="25">
        <f t="shared" si="6"/>
        <v>216.86963562913533</v>
      </c>
      <c r="P42" s="25">
        <f t="shared" si="6"/>
        <v>224.51429028506229</v>
      </c>
      <c r="Q42" s="25">
        <f t="shared" si="6"/>
        <v>232.42841901761071</v>
      </c>
      <c r="R42" s="25">
        <f t="shared" si="6"/>
        <v>240.62152078798147</v>
      </c>
      <c r="S42" s="25">
        <f t="shared" si="6"/>
        <v>249.10342939575781</v>
      </c>
      <c r="T42" s="25">
        <f t="shared" si="6"/>
        <v>257.88432528195824</v>
      </c>
      <c r="U42" s="25">
        <f t="shared" si="6"/>
        <v>266.97474774814725</v>
      </c>
      <c r="V42" s="25">
        <f t="shared" si="6"/>
        <v>276.38560760626939</v>
      </c>
      <c r="W42" s="25">
        <f t="shared" si="6"/>
        <v>286.12820027439039</v>
      </c>
      <c r="X42" s="25">
        <f t="shared" si="6"/>
        <v>296.21421933406259</v>
      </c>
      <c r="Y42" s="25">
        <f t="shared" si="6"/>
        <v>306.65577056558834</v>
      </c>
      <c r="Z42" s="25">
        <f t="shared" si="6"/>
        <v>317.46538647802527</v>
      </c>
      <c r="AA42" s="25">
        <f t="shared" si="6"/>
        <v>328.65604135137562</v>
      </c>
      <c r="AB42" s="25">
        <f t="shared" si="6"/>
        <v>340.24116680901159</v>
      </c>
      <c r="AC42" s="25">
        <f t="shared" si="6"/>
        <v>352.23466793902924</v>
      </c>
      <c r="AD42" s="25">
        <f t="shared" si="6"/>
        <v>364.65093998387994</v>
      </c>
      <c r="AE42" s="25">
        <f t="shared" si="6"/>
        <v>377.50488561831168</v>
      </c>
      <c r="AF42" s="25">
        <f t="shared" si="6"/>
        <v>390.81193283635713</v>
      </c>
      <c r="AG42" s="25">
        <f t="shared" si="6"/>
        <v>404.58805346883867</v>
      </c>
      <c r="AH42" s="25">
        <f t="shared" si="6"/>
        <v>418.84978235361535</v>
      </c>
      <c r="AI42" s="25">
        <f t="shared" si="6"/>
        <v>433.61423718158034</v>
      </c>
      <c r="AJ42" s="25">
        <f t="shared" si="6"/>
        <v>448.8991390422309</v>
      </c>
      <c r="AK42" s="25">
        <f t="shared" si="6"/>
        <v>464.72283369346945</v>
      </c>
      <c r="AL42" s="25">
        <f t="shared" si="6"/>
        <v>481.10431358116426</v>
      </c>
      <c r="AM42" s="25">
        <f t="shared" si="6"/>
        <v>498.06324063490024</v>
      </c>
      <c r="AN42" s="25">
        <f t="shared" si="6"/>
        <v>515.61996986728047</v>
      </c>
      <c r="AO42" s="25">
        <f t="shared" si="6"/>
        <v>533.79557380510198</v>
      </c>
      <c r="AP42" s="25">
        <f t="shared" si="6"/>
        <v>552.61186778173192</v>
      </c>
    </row>
    <row r="43" spans="3:42" x14ac:dyDescent="0.25"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3:42" x14ac:dyDescent="0.25">
      <c r="C44" t="s">
        <v>82</v>
      </c>
      <c r="E44" s="22" t="s">
        <v>23</v>
      </c>
      <c r="M44" s="7">
        <f>M35*$M$24*365/1000000</f>
        <v>51.1</v>
      </c>
      <c r="N44" s="7">
        <f t="shared" ref="N44:AP44" si="7">N35*$M$24*365/1000000</f>
        <v>51.610999999999997</v>
      </c>
      <c r="O44" s="7">
        <f t="shared" si="7"/>
        <v>52.127110000000002</v>
      </c>
      <c r="P44" s="7">
        <f t="shared" si="7"/>
        <v>52.648381099999995</v>
      </c>
      <c r="Q44" s="7">
        <f t="shared" si="7"/>
        <v>53.174864911</v>
      </c>
      <c r="R44" s="7">
        <f t="shared" si="7"/>
        <v>53.706613560109993</v>
      </c>
      <c r="S44" s="7">
        <f t="shared" si="7"/>
        <v>54.243679695711094</v>
      </c>
      <c r="T44" s="7">
        <f t="shared" si="7"/>
        <v>54.786116492668206</v>
      </c>
      <c r="U44" s="7">
        <f t="shared" si="7"/>
        <v>55.333977657594886</v>
      </c>
      <c r="V44" s="7">
        <f t="shared" si="7"/>
        <v>55.887317434170839</v>
      </c>
      <c r="W44" s="7">
        <f t="shared" si="7"/>
        <v>56.446190608512552</v>
      </c>
      <c r="X44" s="7">
        <f t="shared" si="7"/>
        <v>57.010652514597666</v>
      </c>
      <c r="Y44" s="7">
        <f t="shared" si="7"/>
        <v>57.580759039743661</v>
      </c>
      <c r="Z44" s="7">
        <f t="shared" si="7"/>
        <v>58.156566630141086</v>
      </c>
      <c r="AA44" s="7">
        <f t="shared" si="7"/>
        <v>58.738132296442494</v>
      </c>
      <c r="AB44" s="7">
        <f t="shared" si="7"/>
        <v>59.325513619406934</v>
      </c>
      <c r="AC44" s="7">
        <f t="shared" si="7"/>
        <v>59.918768755601</v>
      </c>
      <c r="AD44" s="7">
        <f t="shared" si="7"/>
        <v>60.517956443157011</v>
      </c>
      <c r="AE44" s="7">
        <f t="shared" si="7"/>
        <v>61.123136007588577</v>
      </c>
      <c r="AF44" s="7">
        <f t="shared" si="7"/>
        <v>61.734367367664461</v>
      </c>
      <c r="AG44" s="7">
        <f t="shared" si="7"/>
        <v>62.351711041341112</v>
      </c>
      <c r="AH44" s="7">
        <f t="shared" si="7"/>
        <v>62.975228151754536</v>
      </c>
      <c r="AI44" s="7">
        <f t="shared" si="7"/>
        <v>63.60498043327209</v>
      </c>
      <c r="AJ44" s="7">
        <f t="shared" si="7"/>
        <v>64.241030237604804</v>
      </c>
      <c r="AK44" s="7">
        <f t="shared" si="7"/>
        <v>64.883440539980853</v>
      </c>
      <c r="AL44" s="7">
        <f t="shared" si="7"/>
        <v>65.532274945380664</v>
      </c>
      <c r="AM44" s="7">
        <f t="shared" si="7"/>
        <v>66.187597694834466</v>
      </c>
      <c r="AN44" s="7">
        <f t="shared" si="7"/>
        <v>66.849473671782818</v>
      </c>
      <c r="AO44" s="7">
        <f t="shared" si="7"/>
        <v>67.517968408500636</v>
      </c>
      <c r="AP44" s="7">
        <f t="shared" si="7"/>
        <v>68.193148092585659</v>
      </c>
    </row>
    <row r="45" spans="3:42" x14ac:dyDescent="0.25">
      <c r="C45" t="s">
        <v>83</v>
      </c>
      <c r="E45" s="23" t="s">
        <v>25</v>
      </c>
      <c r="H45" s="24">
        <f>H25</f>
        <v>4</v>
      </c>
      <c r="I45" s="24">
        <f>$H$25*I34</f>
        <v>4.0999999999999996</v>
      </c>
      <c r="J45" s="24">
        <f t="shared" ref="J45:AP45" si="8">$H$25*J34</f>
        <v>4.2024999999999997</v>
      </c>
      <c r="K45" s="24">
        <f t="shared" si="8"/>
        <v>4.3075624999999995</v>
      </c>
      <c r="L45" s="24">
        <f t="shared" si="8"/>
        <v>4.4152515624999991</v>
      </c>
      <c r="M45" s="24">
        <f t="shared" si="8"/>
        <v>4.5256328515624986</v>
      </c>
      <c r="N45" s="24">
        <f t="shared" si="8"/>
        <v>4.6387736728515607</v>
      </c>
      <c r="O45" s="24">
        <f t="shared" si="8"/>
        <v>4.7547430146728491</v>
      </c>
      <c r="P45" s="24">
        <f t="shared" si="8"/>
        <v>4.8736115900396699</v>
      </c>
      <c r="Q45" s="24">
        <f t="shared" si="8"/>
        <v>4.9954518797906609</v>
      </c>
      <c r="R45" s="24">
        <f t="shared" si="8"/>
        <v>5.1203381767854266</v>
      </c>
      <c r="S45" s="24">
        <f t="shared" si="8"/>
        <v>5.2483466312050622</v>
      </c>
      <c r="T45" s="24">
        <f t="shared" si="8"/>
        <v>5.3795552969851883</v>
      </c>
      <c r="U45" s="24">
        <f t="shared" si="8"/>
        <v>5.5140441794098178</v>
      </c>
      <c r="V45" s="24">
        <f t="shared" si="8"/>
        <v>5.6518952838950627</v>
      </c>
      <c r="W45" s="24">
        <f t="shared" si="8"/>
        <v>5.7931926659924384</v>
      </c>
      <c r="X45" s="24">
        <f t="shared" si="8"/>
        <v>5.938022482642249</v>
      </c>
      <c r="Y45" s="24">
        <f t="shared" si="8"/>
        <v>6.0864730447083044</v>
      </c>
      <c r="Z45" s="24">
        <f t="shared" si="8"/>
        <v>6.2386348708260115</v>
      </c>
      <c r="AA45" s="24">
        <f t="shared" si="8"/>
        <v>6.3946007425966611</v>
      </c>
      <c r="AB45" s="24">
        <f t="shared" si="8"/>
        <v>6.5544657611615769</v>
      </c>
      <c r="AC45" s="24">
        <f t="shared" si="8"/>
        <v>6.7183274051906157</v>
      </c>
      <c r="AD45" s="24">
        <f t="shared" si="8"/>
        <v>6.8862855903203801</v>
      </c>
      <c r="AE45" s="24">
        <f t="shared" si="8"/>
        <v>7.0584427300783892</v>
      </c>
      <c r="AF45" s="24">
        <f t="shared" si="8"/>
        <v>7.2349037983303486</v>
      </c>
      <c r="AG45" s="24">
        <f t="shared" si="8"/>
        <v>7.4157763932886063</v>
      </c>
      <c r="AH45" s="24">
        <f t="shared" si="8"/>
        <v>7.6011708031208212</v>
      </c>
      <c r="AI45" s="24">
        <f t="shared" si="8"/>
        <v>7.7912000731988407</v>
      </c>
      <c r="AJ45" s="24">
        <f t="shared" si="8"/>
        <v>7.9859800750288112</v>
      </c>
      <c r="AK45" s="24">
        <f t="shared" si="8"/>
        <v>8.18562957690453</v>
      </c>
      <c r="AL45" s="24">
        <f t="shared" si="8"/>
        <v>8.3902703163271433</v>
      </c>
      <c r="AM45" s="24">
        <f t="shared" si="8"/>
        <v>8.6000270742353209</v>
      </c>
      <c r="AN45" s="24">
        <f t="shared" si="8"/>
        <v>8.8150277510912023</v>
      </c>
      <c r="AO45" s="24">
        <f t="shared" si="8"/>
        <v>9.0354034448684821</v>
      </c>
      <c r="AP45" s="24">
        <f t="shared" si="8"/>
        <v>9.2612885309901927</v>
      </c>
    </row>
    <row r="46" spans="3:42" x14ac:dyDescent="0.25">
      <c r="C46" t="s">
        <v>84</v>
      </c>
      <c r="E46" t="s">
        <v>21</v>
      </c>
      <c r="F46" s="8">
        <f>SUM(M46:AP46)</f>
        <v>11987.487813432233</v>
      </c>
      <c r="M46" s="25">
        <f t="shared" ref="M46:AP46" si="9">M45*M44</f>
        <v>231.25983871484368</v>
      </c>
      <c r="N46" s="25">
        <f t="shared" si="9"/>
        <v>239.41174802954188</v>
      </c>
      <c r="O46" s="25">
        <f t="shared" si="9"/>
        <v>247.85101214758322</v>
      </c>
      <c r="P46" s="25">
        <f t="shared" si="9"/>
        <v>256.5877603257855</v>
      </c>
      <c r="Q46" s="25">
        <f t="shared" si="9"/>
        <v>265.63247887726942</v>
      </c>
      <c r="R46" s="25">
        <f t="shared" si="9"/>
        <v>274.99602375769308</v>
      </c>
      <c r="S46" s="25">
        <f t="shared" si="9"/>
        <v>284.68963359515175</v>
      </c>
      <c r="T46" s="25">
        <f t="shared" si="9"/>
        <v>294.72494317938083</v>
      </c>
      <c r="U46" s="25">
        <f t="shared" si="9"/>
        <v>305.11399742645398</v>
      </c>
      <c r="V46" s="25">
        <f t="shared" si="9"/>
        <v>315.86926583573648</v>
      </c>
      <c r="W46" s="25">
        <f t="shared" si="9"/>
        <v>327.00365745644615</v>
      </c>
      <c r="X46" s="25">
        <f t="shared" si="9"/>
        <v>338.53053638178579</v>
      </c>
      <c r="Y46" s="25">
        <f t="shared" si="9"/>
        <v>350.46373778924385</v>
      </c>
      <c r="Z46" s="25">
        <f t="shared" si="9"/>
        <v>362.81758454631455</v>
      </c>
      <c r="AA46" s="25">
        <f t="shared" si="9"/>
        <v>375.60690440157208</v>
      </c>
      <c r="AB46" s="25">
        <f t="shared" si="9"/>
        <v>388.84704778172755</v>
      </c>
      <c r="AC46" s="25">
        <f t="shared" si="9"/>
        <v>402.5539062160334</v>
      </c>
      <c r="AD46" s="25">
        <f t="shared" si="9"/>
        <v>416.74393141014855</v>
      </c>
      <c r="AE46" s="25">
        <f t="shared" si="9"/>
        <v>431.43415499235618</v>
      </c>
      <c r="AF46" s="25">
        <f t="shared" si="9"/>
        <v>446.64220895583674</v>
      </c>
      <c r="AG46" s="25">
        <f t="shared" si="9"/>
        <v>462.38634682152997</v>
      </c>
      <c r="AH46" s="25">
        <f t="shared" si="9"/>
        <v>478.68546554698895</v>
      </c>
      <c r="AI46" s="25">
        <f t="shared" si="9"/>
        <v>495.55912820752036</v>
      </c>
      <c r="AJ46" s="25">
        <f t="shared" si="9"/>
        <v>513.02758747683538</v>
      </c>
      <c r="AK46" s="25">
        <f t="shared" si="9"/>
        <v>531.11180993539369</v>
      </c>
      <c r="AL46" s="25">
        <f t="shared" si="9"/>
        <v>549.83350123561638</v>
      </c>
      <c r="AM46" s="25">
        <f t="shared" si="9"/>
        <v>569.21513215417167</v>
      </c>
      <c r="AN46" s="25">
        <f t="shared" si="9"/>
        <v>589.27996556260621</v>
      </c>
      <c r="AO46" s="25">
        <f t="shared" si="9"/>
        <v>610.05208434868803</v>
      </c>
      <c r="AP46" s="25">
        <f t="shared" si="9"/>
        <v>631.55642032197932</v>
      </c>
    </row>
    <row r="47" spans="3:42" x14ac:dyDescent="0.25"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</row>
    <row r="48" spans="3:42" x14ac:dyDescent="0.25">
      <c r="C48" t="s">
        <v>85</v>
      </c>
      <c r="E48" s="22" t="s">
        <v>23</v>
      </c>
      <c r="M48" s="7">
        <f>M35*$M$27*365/1000000</f>
        <v>29.2</v>
      </c>
      <c r="N48" s="7">
        <f t="shared" ref="N48:AP48" si="10">N35*$M$27*365/1000000</f>
        <v>29.492000000000001</v>
      </c>
      <c r="O48" s="7">
        <f t="shared" si="10"/>
        <v>29.786919999999999</v>
      </c>
      <c r="P48" s="7">
        <f t="shared" si="10"/>
        <v>30.084789199999996</v>
      </c>
      <c r="Q48" s="7">
        <f t="shared" si="10"/>
        <v>30.385637092</v>
      </c>
      <c r="R48" s="7">
        <f t="shared" si="10"/>
        <v>30.689493462919994</v>
      </c>
      <c r="S48" s="7">
        <f t="shared" si="10"/>
        <v>30.996388397549197</v>
      </c>
      <c r="T48" s="7">
        <f t="shared" si="10"/>
        <v>31.306352281524685</v>
      </c>
      <c r="U48" s="7">
        <f t="shared" si="10"/>
        <v>31.619415804339937</v>
      </c>
      <c r="V48" s="7">
        <f t="shared" si="10"/>
        <v>31.935609962383339</v>
      </c>
      <c r="W48" s="7">
        <f t="shared" si="10"/>
        <v>32.254966062007171</v>
      </c>
      <c r="X48" s="7">
        <f t="shared" si="10"/>
        <v>32.57751572262724</v>
      </c>
      <c r="Y48" s="7">
        <f t="shared" si="10"/>
        <v>32.903290879853522</v>
      </c>
      <c r="Z48" s="7">
        <f t="shared" si="10"/>
        <v>33.232323788652053</v>
      </c>
      <c r="AA48" s="7">
        <f t="shared" si="10"/>
        <v>33.564647026538573</v>
      </c>
      <c r="AB48" s="7">
        <f t="shared" si="10"/>
        <v>33.900293496803961</v>
      </c>
      <c r="AC48" s="7">
        <f t="shared" si="10"/>
        <v>34.239296431772004</v>
      </c>
      <c r="AD48" s="7">
        <f t="shared" si="10"/>
        <v>34.581689396089722</v>
      </c>
      <c r="AE48" s="7">
        <f t="shared" si="10"/>
        <v>34.927506290050616</v>
      </c>
      <c r="AF48" s="7">
        <f t="shared" si="10"/>
        <v>35.276781352951126</v>
      </c>
      <c r="AG48" s="7">
        <f t="shared" si="10"/>
        <v>35.629549166480636</v>
      </c>
      <c r="AH48" s="7">
        <f t="shared" si="10"/>
        <v>35.985844658145453</v>
      </c>
      <c r="AI48" s="7">
        <f t="shared" si="10"/>
        <v>36.345703104726901</v>
      </c>
      <c r="AJ48" s="7">
        <f t="shared" si="10"/>
        <v>36.709160135774169</v>
      </c>
      <c r="AK48" s="7">
        <f t="shared" si="10"/>
        <v>37.076251737131919</v>
      </c>
      <c r="AL48" s="7">
        <f t="shared" si="10"/>
        <v>37.447014254503237</v>
      </c>
      <c r="AM48" s="7">
        <f t="shared" si="10"/>
        <v>37.821484397048266</v>
      </c>
      <c r="AN48" s="7">
        <f t="shared" si="10"/>
        <v>38.199699241018749</v>
      </c>
      <c r="AO48" s="7">
        <f t="shared" si="10"/>
        <v>38.581696233428943</v>
      </c>
      <c r="AP48" s="7">
        <f t="shared" si="10"/>
        <v>38.967513195763232</v>
      </c>
    </row>
    <row r="49" spans="2:42" x14ac:dyDescent="0.25">
      <c r="C49" t="s">
        <v>86</v>
      </c>
      <c r="E49" s="23" t="s">
        <v>25</v>
      </c>
      <c r="H49" s="24">
        <f>H28</f>
        <v>4</v>
      </c>
      <c r="I49" s="24">
        <f>$H$28*I34</f>
        <v>4.0999999999999996</v>
      </c>
      <c r="J49" s="24">
        <f t="shared" ref="J49:AP49" si="11">$H$28*J34</f>
        <v>4.2024999999999997</v>
      </c>
      <c r="K49" s="24">
        <f t="shared" si="11"/>
        <v>4.3075624999999995</v>
      </c>
      <c r="L49" s="24">
        <f t="shared" si="11"/>
        <v>4.4152515624999991</v>
      </c>
      <c r="M49" s="24">
        <f t="shared" si="11"/>
        <v>4.5256328515624986</v>
      </c>
      <c r="N49" s="24">
        <f t="shared" si="11"/>
        <v>4.6387736728515607</v>
      </c>
      <c r="O49" s="24">
        <f t="shared" si="11"/>
        <v>4.7547430146728491</v>
      </c>
      <c r="P49" s="24">
        <f t="shared" si="11"/>
        <v>4.8736115900396699</v>
      </c>
      <c r="Q49" s="24">
        <f t="shared" si="11"/>
        <v>4.9954518797906609</v>
      </c>
      <c r="R49" s="24">
        <f t="shared" si="11"/>
        <v>5.1203381767854266</v>
      </c>
      <c r="S49" s="24">
        <f t="shared" si="11"/>
        <v>5.2483466312050622</v>
      </c>
      <c r="T49" s="24">
        <f t="shared" si="11"/>
        <v>5.3795552969851883</v>
      </c>
      <c r="U49" s="24">
        <f t="shared" si="11"/>
        <v>5.5140441794098178</v>
      </c>
      <c r="V49" s="24">
        <f t="shared" si="11"/>
        <v>5.6518952838950627</v>
      </c>
      <c r="W49" s="24">
        <f t="shared" si="11"/>
        <v>5.7931926659924384</v>
      </c>
      <c r="X49" s="24">
        <f t="shared" si="11"/>
        <v>5.938022482642249</v>
      </c>
      <c r="Y49" s="24">
        <f t="shared" si="11"/>
        <v>6.0864730447083044</v>
      </c>
      <c r="Z49" s="24">
        <f t="shared" si="11"/>
        <v>6.2386348708260115</v>
      </c>
      <c r="AA49" s="24">
        <f t="shared" si="11"/>
        <v>6.3946007425966611</v>
      </c>
      <c r="AB49" s="24">
        <f t="shared" si="11"/>
        <v>6.5544657611615769</v>
      </c>
      <c r="AC49" s="24">
        <f t="shared" si="11"/>
        <v>6.7183274051906157</v>
      </c>
      <c r="AD49" s="24">
        <f t="shared" si="11"/>
        <v>6.8862855903203801</v>
      </c>
      <c r="AE49" s="24">
        <f t="shared" si="11"/>
        <v>7.0584427300783892</v>
      </c>
      <c r="AF49" s="24">
        <f t="shared" si="11"/>
        <v>7.2349037983303486</v>
      </c>
      <c r="AG49" s="24">
        <f t="shared" si="11"/>
        <v>7.4157763932886063</v>
      </c>
      <c r="AH49" s="24">
        <f t="shared" si="11"/>
        <v>7.6011708031208212</v>
      </c>
      <c r="AI49" s="24">
        <f t="shared" si="11"/>
        <v>7.7912000731988407</v>
      </c>
      <c r="AJ49" s="24">
        <f t="shared" si="11"/>
        <v>7.9859800750288112</v>
      </c>
      <c r="AK49" s="24">
        <f t="shared" si="11"/>
        <v>8.18562957690453</v>
      </c>
      <c r="AL49" s="24">
        <f t="shared" si="11"/>
        <v>8.3902703163271433</v>
      </c>
      <c r="AM49" s="24">
        <f t="shared" si="11"/>
        <v>8.6000270742353209</v>
      </c>
      <c r="AN49" s="24">
        <f t="shared" si="11"/>
        <v>8.8150277510912023</v>
      </c>
      <c r="AO49" s="24">
        <f t="shared" si="11"/>
        <v>9.0354034448684821</v>
      </c>
      <c r="AP49" s="24">
        <f t="shared" si="11"/>
        <v>9.2612885309901927</v>
      </c>
    </row>
    <row r="50" spans="2:42" x14ac:dyDescent="0.25">
      <c r="C50" t="s">
        <v>87</v>
      </c>
      <c r="E50" t="s">
        <v>21</v>
      </c>
      <c r="F50" s="8">
        <f>SUM(M50:AP50)</f>
        <v>6849.9930362469931</v>
      </c>
      <c r="M50" s="25">
        <f t="shared" ref="M50:AP50" si="12">M49*M48</f>
        <v>132.14847926562496</v>
      </c>
      <c r="N50" s="25">
        <f t="shared" si="12"/>
        <v>136.80671315973822</v>
      </c>
      <c r="O50" s="25">
        <f t="shared" si="12"/>
        <v>141.62914979861898</v>
      </c>
      <c r="P50" s="25">
        <f t="shared" si="12"/>
        <v>146.62157732902028</v>
      </c>
      <c r="Q50" s="25">
        <f t="shared" si="12"/>
        <v>151.78998792986823</v>
      </c>
      <c r="R50" s="25">
        <f t="shared" si="12"/>
        <v>157.14058500439603</v>
      </c>
      <c r="S50" s="25">
        <f t="shared" si="12"/>
        <v>162.67979062580099</v>
      </c>
      <c r="T50" s="25">
        <f t="shared" si="12"/>
        <v>168.41425324536044</v>
      </c>
      <c r="U50" s="25">
        <f t="shared" si="12"/>
        <v>174.35085567225943</v>
      </c>
      <c r="V50" s="25">
        <f t="shared" si="12"/>
        <v>180.49672333470656</v>
      </c>
      <c r="W50" s="25">
        <f t="shared" si="12"/>
        <v>186.85923283225495</v>
      </c>
      <c r="X50" s="25">
        <f t="shared" si="12"/>
        <v>193.4460207895919</v>
      </c>
      <c r="Y50" s="25">
        <f t="shared" si="12"/>
        <v>200.26499302242505</v>
      </c>
      <c r="Z50" s="25">
        <f t="shared" si="12"/>
        <v>207.32433402646549</v>
      </c>
      <c r="AA50" s="25">
        <f t="shared" si="12"/>
        <v>214.63251680089837</v>
      </c>
      <c r="AB50" s="25">
        <f t="shared" si="12"/>
        <v>222.19831301813002</v>
      </c>
      <c r="AC50" s="25">
        <f t="shared" si="12"/>
        <v>230.03080355201911</v>
      </c>
      <c r="AD50" s="25">
        <f t="shared" si="12"/>
        <v>238.13938937722773</v>
      </c>
      <c r="AE50" s="25">
        <f t="shared" si="12"/>
        <v>246.53380285277498</v>
      </c>
      <c r="AF50" s="25">
        <f t="shared" si="12"/>
        <v>255.22411940333532</v>
      </c>
      <c r="AG50" s="25">
        <f t="shared" si="12"/>
        <v>264.22076961230283</v>
      </c>
      <c r="AH50" s="25">
        <f t="shared" si="12"/>
        <v>273.53455174113657</v>
      </c>
      <c r="AI50" s="25">
        <f t="shared" si="12"/>
        <v>283.17664469001159</v>
      </c>
      <c r="AJ50" s="25">
        <f t="shared" si="12"/>
        <v>293.15862141533444</v>
      </c>
      <c r="AK50" s="25">
        <f t="shared" si="12"/>
        <v>303.492462820225</v>
      </c>
      <c r="AL50" s="25">
        <f t="shared" si="12"/>
        <v>314.19057213463793</v>
      </c>
      <c r="AM50" s="25">
        <f t="shared" si="12"/>
        <v>325.26578980238384</v>
      </c>
      <c r="AN50" s="25">
        <f t="shared" si="12"/>
        <v>336.73140889291778</v>
      </c>
      <c r="AO50" s="25">
        <f t="shared" si="12"/>
        <v>348.60119105639319</v>
      </c>
      <c r="AP50" s="25">
        <f t="shared" si="12"/>
        <v>360.889383041131</v>
      </c>
    </row>
    <row r="51" spans="2:42" x14ac:dyDescent="0.25"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</row>
    <row r="52" spans="2:42" x14ac:dyDescent="0.25">
      <c r="C52" t="s">
        <v>88</v>
      </c>
      <c r="F52" s="8">
        <f>SUM(M52:AP52)</f>
        <v>29326.532686432431</v>
      </c>
      <c r="M52" s="25">
        <f>M42+M46+M50</f>
        <v>565.76067685595683</v>
      </c>
      <c r="N52" s="25">
        <f t="shared" ref="N52:AP52" si="13">N42+N46+N50</f>
        <v>585.70374071512924</v>
      </c>
      <c r="O52" s="25">
        <f t="shared" si="13"/>
        <v>606.34979757533756</v>
      </c>
      <c r="P52" s="25">
        <f t="shared" si="13"/>
        <v>627.72362793986804</v>
      </c>
      <c r="Q52" s="25">
        <f t="shared" si="13"/>
        <v>649.85088582474827</v>
      </c>
      <c r="R52" s="25">
        <f t="shared" si="13"/>
        <v>672.75812955007052</v>
      </c>
      <c r="S52" s="25">
        <f t="shared" si="13"/>
        <v>696.47285361671061</v>
      </c>
      <c r="T52" s="25">
        <f t="shared" si="13"/>
        <v>721.02352170669951</v>
      </c>
      <c r="U52" s="25">
        <f t="shared" si="13"/>
        <v>746.43960084686057</v>
      </c>
      <c r="V52" s="25">
        <f t="shared" si="13"/>
        <v>772.7515967767124</v>
      </c>
      <c r="W52" s="25">
        <f t="shared" si="13"/>
        <v>799.99109056309157</v>
      </c>
      <c r="X52" s="25">
        <f t="shared" si="13"/>
        <v>828.19077650544034</v>
      </c>
      <c r="Y52" s="25">
        <f t="shared" si="13"/>
        <v>857.38450137725727</v>
      </c>
      <c r="Z52" s="25">
        <f t="shared" si="13"/>
        <v>887.60730505080528</v>
      </c>
      <c r="AA52" s="25">
        <f t="shared" si="13"/>
        <v>918.89546255384607</v>
      </c>
      <c r="AB52" s="25">
        <f t="shared" si="13"/>
        <v>951.28652760886916</v>
      </c>
      <c r="AC52" s="25">
        <f t="shared" si="13"/>
        <v>984.81937770708169</v>
      </c>
      <c r="AD52" s="25">
        <f t="shared" si="13"/>
        <v>1019.5342607712563</v>
      </c>
      <c r="AE52" s="25">
        <f t="shared" si="13"/>
        <v>1055.4728434634428</v>
      </c>
      <c r="AF52" s="25">
        <f t="shared" si="13"/>
        <v>1092.6782611955293</v>
      </c>
      <c r="AG52" s="25">
        <f t="shared" si="13"/>
        <v>1131.1951699026715</v>
      </c>
      <c r="AH52" s="25">
        <f t="shared" si="13"/>
        <v>1171.0697996417409</v>
      </c>
      <c r="AI52" s="25">
        <f t="shared" si="13"/>
        <v>1212.3500100791123</v>
      </c>
      <c r="AJ52" s="25">
        <f t="shared" si="13"/>
        <v>1255.0853479344007</v>
      </c>
      <c r="AK52" s="25">
        <f t="shared" si="13"/>
        <v>1299.3271064490882</v>
      </c>
      <c r="AL52" s="25">
        <f t="shared" si="13"/>
        <v>1345.1283869514186</v>
      </c>
      <c r="AM52" s="25">
        <f t="shared" si="13"/>
        <v>1392.5441625914557</v>
      </c>
      <c r="AN52" s="25">
        <f t="shared" si="13"/>
        <v>1441.6313443228046</v>
      </c>
      <c r="AO52" s="25">
        <f t="shared" si="13"/>
        <v>1492.4488492101832</v>
      </c>
      <c r="AP52" s="25">
        <f t="shared" si="13"/>
        <v>1545.0576711448423</v>
      </c>
    </row>
    <row r="53" spans="2:42" x14ac:dyDescent="0.25">
      <c r="C53" t="s">
        <v>27</v>
      </c>
      <c r="E53" t="s">
        <v>21</v>
      </c>
      <c r="M53" s="21">
        <f>M52*(1-$F$12)</f>
        <v>113.15213537119133</v>
      </c>
      <c r="N53" s="21">
        <f>N52*(1-$F$12)</f>
        <v>117.14074814302582</v>
      </c>
      <c r="O53" s="21">
        <f t="shared" ref="O53:AP53" si="14">O52*(1-$F$12)</f>
        <v>121.26995951506748</v>
      </c>
      <c r="P53" s="21">
        <f t="shared" si="14"/>
        <v>125.54472558797357</v>
      </c>
      <c r="Q53" s="21">
        <f t="shared" si="14"/>
        <v>129.97017716494963</v>
      </c>
      <c r="R53" s="21">
        <f t="shared" si="14"/>
        <v>134.55162591001408</v>
      </c>
      <c r="S53" s="21">
        <f t="shared" si="14"/>
        <v>139.2945707233421</v>
      </c>
      <c r="T53" s="21">
        <f t="shared" si="14"/>
        <v>144.20470434133986</v>
      </c>
      <c r="U53" s="21">
        <f t="shared" si="14"/>
        <v>149.28792016937209</v>
      </c>
      <c r="V53" s="21">
        <f t="shared" si="14"/>
        <v>154.55031935534245</v>
      </c>
      <c r="W53" s="21">
        <f t="shared" si="14"/>
        <v>159.99821811261828</v>
      </c>
      <c r="X53" s="21">
        <f t="shared" si="14"/>
        <v>165.63815530108803</v>
      </c>
      <c r="Y53" s="21">
        <f t="shared" si="14"/>
        <v>171.47690027545141</v>
      </c>
      <c r="Z53" s="21">
        <f t="shared" si="14"/>
        <v>177.521461010161</v>
      </c>
      <c r="AA53" s="21">
        <f t="shared" si="14"/>
        <v>183.77909251076917</v>
      </c>
      <c r="AB53" s="21">
        <f t="shared" si="14"/>
        <v>190.25730552177379</v>
      </c>
      <c r="AC53" s="21">
        <f t="shared" si="14"/>
        <v>196.96387554141629</v>
      </c>
      <c r="AD53" s="21">
        <f t="shared" si="14"/>
        <v>203.90685215425123</v>
      </c>
      <c r="AE53" s="21">
        <f t="shared" si="14"/>
        <v>211.09456869268851</v>
      </c>
      <c r="AF53" s="21">
        <f t="shared" si="14"/>
        <v>218.53565223910581</v>
      </c>
      <c r="AG53" s="21">
        <f t="shared" si="14"/>
        <v>226.23903398053426</v>
      </c>
      <c r="AH53" s="21">
        <f t="shared" si="14"/>
        <v>234.21395992834815</v>
      </c>
      <c r="AI53" s="21">
        <f t="shared" si="14"/>
        <v>242.47000201582242</v>
      </c>
      <c r="AJ53" s="21">
        <f t="shared" si="14"/>
        <v>251.0170695868801</v>
      </c>
      <c r="AK53" s="21">
        <f t="shared" si="14"/>
        <v>259.86542128981756</v>
      </c>
      <c r="AL53" s="21">
        <f t="shared" si="14"/>
        <v>269.02567739028365</v>
      </c>
      <c r="AM53" s="21">
        <f t="shared" si="14"/>
        <v>278.50883251829106</v>
      </c>
      <c r="AN53" s="21">
        <f t="shared" si="14"/>
        <v>288.32626886456086</v>
      </c>
      <c r="AO53" s="21">
        <f t="shared" si="14"/>
        <v>298.48976984203659</v>
      </c>
      <c r="AP53" s="21">
        <f t="shared" si="14"/>
        <v>309.0115342289684</v>
      </c>
    </row>
    <row r="54" spans="2:42" x14ac:dyDescent="0.25">
      <c r="C54" t="s">
        <v>28</v>
      </c>
      <c r="E54" t="s">
        <v>21</v>
      </c>
      <c r="M54" s="25">
        <f>M52-M53</f>
        <v>452.60854148476551</v>
      </c>
      <c r="N54" s="25">
        <f t="shared" ref="N54:AP54" si="15">N52-N53</f>
        <v>468.56299257210344</v>
      </c>
      <c r="O54" s="25">
        <f t="shared" si="15"/>
        <v>485.07983806027005</v>
      </c>
      <c r="P54" s="25">
        <f t="shared" si="15"/>
        <v>502.17890235189446</v>
      </c>
      <c r="Q54" s="25">
        <f t="shared" si="15"/>
        <v>519.88070865979864</v>
      </c>
      <c r="R54" s="25">
        <f t="shared" si="15"/>
        <v>538.20650364005644</v>
      </c>
      <c r="S54" s="25">
        <f t="shared" si="15"/>
        <v>557.17828289336853</v>
      </c>
      <c r="T54" s="25">
        <f t="shared" si="15"/>
        <v>576.81881736535968</v>
      </c>
      <c r="U54" s="25">
        <f t="shared" si="15"/>
        <v>597.15168067748846</v>
      </c>
      <c r="V54" s="25">
        <f t="shared" si="15"/>
        <v>618.20127742136992</v>
      </c>
      <c r="W54" s="25">
        <f t="shared" si="15"/>
        <v>639.99287245047333</v>
      </c>
      <c r="X54" s="25">
        <f t="shared" si="15"/>
        <v>662.55262120435236</v>
      </c>
      <c r="Y54" s="25">
        <f t="shared" si="15"/>
        <v>685.90760110180588</v>
      </c>
      <c r="Z54" s="25">
        <f t="shared" si="15"/>
        <v>710.08584404064425</v>
      </c>
      <c r="AA54" s="25">
        <f t="shared" si="15"/>
        <v>735.11637004307693</v>
      </c>
      <c r="AB54" s="25">
        <f t="shared" si="15"/>
        <v>761.02922208709538</v>
      </c>
      <c r="AC54" s="25">
        <f t="shared" si="15"/>
        <v>787.85550216566537</v>
      </c>
      <c r="AD54" s="25">
        <f t="shared" si="15"/>
        <v>815.62740861700513</v>
      </c>
      <c r="AE54" s="25">
        <f t="shared" si="15"/>
        <v>844.37827477075427</v>
      </c>
      <c r="AF54" s="25">
        <f t="shared" si="15"/>
        <v>874.14260895642349</v>
      </c>
      <c r="AG54" s="25">
        <f t="shared" si="15"/>
        <v>904.95613592213726</v>
      </c>
      <c r="AH54" s="25">
        <f t="shared" si="15"/>
        <v>936.85583971339281</v>
      </c>
      <c r="AI54" s="25">
        <f t="shared" si="15"/>
        <v>969.88000806328989</v>
      </c>
      <c r="AJ54" s="25">
        <f t="shared" si="15"/>
        <v>1004.0682783475206</v>
      </c>
      <c r="AK54" s="25">
        <f t="shared" si="15"/>
        <v>1039.4616851592707</v>
      </c>
      <c r="AL54" s="25">
        <f t="shared" si="15"/>
        <v>1076.102709561135</v>
      </c>
      <c r="AM54" s="25">
        <f t="shared" si="15"/>
        <v>1114.0353300731647</v>
      </c>
      <c r="AN54" s="25">
        <f t="shared" si="15"/>
        <v>1153.3050754582437</v>
      </c>
      <c r="AO54" s="25">
        <f t="shared" si="15"/>
        <v>1193.9590793681466</v>
      </c>
      <c r="AP54" s="25">
        <f t="shared" si="15"/>
        <v>1236.0461369158738</v>
      </c>
    </row>
    <row r="56" spans="2:42" x14ac:dyDescent="0.25">
      <c r="B56" s="11" t="s">
        <v>29</v>
      </c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</row>
    <row r="57" spans="2:42" x14ac:dyDescent="0.25">
      <c r="L57" s="8"/>
    </row>
    <row r="58" spans="2:42" x14ac:dyDescent="0.25">
      <c r="C58" t="s">
        <v>30</v>
      </c>
      <c r="E58" t="s">
        <v>21</v>
      </c>
      <c r="M58" s="25">
        <f>M54/$F$14</f>
        <v>301.73902765651036</v>
      </c>
      <c r="N58" s="25">
        <f t="shared" ref="N58:AM58" si="16">N54/$F$14</f>
        <v>312.37532838140231</v>
      </c>
      <c r="O58" s="25">
        <f t="shared" si="16"/>
        <v>323.3865587068467</v>
      </c>
      <c r="P58" s="25">
        <f t="shared" si="16"/>
        <v>334.78593490126298</v>
      </c>
      <c r="Q58" s="25">
        <f t="shared" si="16"/>
        <v>346.58713910653245</v>
      </c>
      <c r="R58" s="25">
        <f t="shared" si="16"/>
        <v>358.80433576003765</v>
      </c>
      <c r="S58" s="25">
        <f t="shared" si="16"/>
        <v>371.452188595579</v>
      </c>
      <c r="T58" s="25">
        <f t="shared" si="16"/>
        <v>384.5458782435731</v>
      </c>
      <c r="U58" s="25">
        <f t="shared" si="16"/>
        <v>398.10112045165897</v>
      </c>
      <c r="V58" s="25">
        <f t="shared" si="16"/>
        <v>412.13418494757997</v>
      </c>
      <c r="W58" s="25">
        <f t="shared" si="16"/>
        <v>426.66191496698224</v>
      </c>
      <c r="X58" s="25">
        <f t="shared" si="16"/>
        <v>441.70174746956826</v>
      </c>
      <c r="Y58" s="25">
        <f t="shared" si="16"/>
        <v>457.27173406787057</v>
      </c>
      <c r="Z58" s="25">
        <f t="shared" si="16"/>
        <v>473.39056269376283</v>
      </c>
      <c r="AA58" s="25">
        <f t="shared" si="16"/>
        <v>490.07758002871793</v>
      </c>
      <c r="AB58" s="25">
        <f t="shared" si="16"/>
        <v>507.35281472473025</v>
      </c>
      <c r="AC58" s="25">
        <f t="shared" si="16"/>
        <v>525.23700144377688</v>
      </c>
      <c r="AD58" s="25">
        <f t="shared" si="16"/>
        <v>543.75160574467009</v>
      </c>
      <c r="AE58" s="25">
        <f t="shared" si="16"/>
        <v>562.91884984716955</v>
      </c>
      <c r="AF58" s="25">
        <f t="shared" si="16"/>
        <v>582.76173930428229</v>
      </c>
      <c r="AG58" s="25">
        <f t="shared" si="16"/>
        <v>603.30409061475814</v>
      </c>
      <c r="AH58" s="25">
        <f t="shared" si="16"/>
        <v>624.57055980892858</v>
      </c>
      <c r="AI58" s="25">
        <f t="shared" si="16"/>
        <v>646.5866720421933</v>
      </c>
      <c r="AJ58" s="25">
        <f t="shared" si="16"/>
        <v>669.37885223168041</v>
      </c>
      <c r="AK58" s="25">
        <f t="shared" si="16"/>
        <v>692.97445677284713</v>
      </c>
      <c r="AL58" s="25">
        <f t="shared" si="16"/>
        <v>717.40180637409003</v>
      </c>
      <c r="AM58" s="25">
        <f t="shared" si="16"/>
        <v>742.6902200487765</v>
      </c>
      <c r="AN58" s="25"/>
      <c r="AO58" s="25"/>
      <c r="AP58" s="25"/>
    </row>
    <row r="59" spans="2:42" x14ac:dyDescent="0.25">
      <c r="D59" t="s">
        <v>76</v>
      </c>
      <c r="E59" t="s">
        <v>21</v>
      </c>
      <c r="L59" s="25">
        <f>NPV((F6+F8),M58:AM58)</f>
        <v>6257.2973276104394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</row>
    <row r="60" spans="2:42" x14ac:dyDescent="0.25"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</row>
    <row r="61" spans="2:42" x14ac:dyDescent="0.25">
      <c r="C61" t="s">
        <v>31</v>
      </c>
    </row>
    <row r="62" spans="2:42" x14ac:dyDescent="0.25">
      <c r="D62" t="s">
        <v>32</v>
      </c>
      <c r="E62" t="s">
        <v>21</v>
      </c>
      <c r="L62" s="25"/>
      <c r="M62" s="25">
        <f>L64</f>
        <v>6257.2973276104394</v>
      </c>
      <c r="N62" s="25">
        <f t="shared" ref="N62:AM62" si="17">M64</f>
        <v>6287.195058317282</v>
      </c>
      <c r="O62" s="25">
        <f t="shared" si="17"/>
        <v>6308.0410680266959</v>
      </c>
      <c r="P62" s="25">
        <f t="shared" si="17"/>
        <v>6318.980685925264</v>
      </c>
      <c r="Q62" s="25">
        <f t="shared" si="17"/>
        <v>6319.1007273780397</v>
      </c>
      <c r="R62" s="25">
        <f t="shared" si="17"/>
        <v>6307.4259268225433</v>
      </c>
      <c r="S62" s="25">
        <f t="shared" si="17"/>
        <v>6282.9151651841003</v>
      </c>
      <c r="T62" s="25">
        <f t="shared" si="17"/>
        <v>6244.4574803432788</v>
      </c>
      <c r="U62" s="25">
        <f t="shared" si="17"/>
        <v>6190.8678485578994</v>
      </c>
      <c r="V62" s="25">
        <f t="shared" si="17"/>
        <v>6120.8827240798091</v>
      </c>
      <c r="W62" s="25">
        <f t="shared" si="17"/>
        <v>6033.1553235084593</v>
      </c>
      <c r="X62" s="25">
        <f t="shared" si="17"/>
        <v>5926.2506406874254</v>
      </c>
      <c r="Y62" s="25">
        <f t="shared" si="17"/>
        <v>5798.6401771742903</v>
      </c>
      <c r="Z62" s="25">
        <f t="shared" si="17"/>
        <v>5648.6963724966572</v>
      </c>
      <c r="AA62" s="25">
        <f t="shared" si="17"/>
        <v>5474.6867175452171</v>
      </c>
      <c r="AB62" s="25">
        <f t="shared" si="17"/>
        <v>5274.7675335463955</v>
      </c>
      <c r="AC62" s="25">
        <f t="shared" si="17"/>
        <v>5046.9773980996242</v>
      </c>
      <c r="AD62" s="25">
        <f t="shared" si="17"/>
        <v>4789.2301987551273</v>
      </c>
      <c r="AE62" s="25">
        <f t="shared" si="17"/>
        <v>4499.307793544479</v>
      </c>
      <c r="AF62" s="25">
        <f t="shared" si="17"/>
        <v>4174.8522567551672</v>
      </c>
      <c r="AG62" s="25">
        <f t="shared" si="17"/>
        <v>3813.3576870589086</v>
      </c>
      <c r="AH62" s="25">
        <f t="shared" si="17"/>
        <v>3412.1615538582728</v>
      </c>
      <c r="AI62" s="25">
        <f t="shared" si="17"/>
        <v>2968.4355564038328</v>
      </c>
      <c r="AJ62" s="25">
        <f t="shared" si="17"/>
        <v>2479.1759688510429</v>
      </c>
      <c r="AK62" s="25">
        <f t="shared" si="17"/>
        <v>1941.1934429684677</v>
      </c>
      <c r="AL62" s="25">
        <f t="shared" si="17"/>
        <v>1351.1022386729494</v>
      </c>
      <c r="AM62" s="25">
        <f t="shared" si="17"/>
        <v>705.30885094852567</v>
      </c>
      <c r="AN62" s="25"/>
      <c r="AO62" s="25"/>
      <c r="AP62" s="25"/>
    </row>
    <row r="63" spans="2:42" x14ac:dyDescent="0.25">
      <c r="D63" t="s">
        <v>33</v>
      </c>
      <c r="E63" t="s">
        <v>21</v>
      </c>
      <c r="L63" s="25"/>
      <c r="M63" s="25">
        <f t="shared" ref="M63:AM63" si="18">M58-M68</f>
        <v>-29.897730706842992</v>
      </c>
      <c r="N63" s="25">
        <f t="shared" si="18"/>
        <v>-20.846009709413693</v>
      </c>
      <c r="O63" s="25">
        <f t="shared" si="18"/>
        <v>-10.939617898568201</v>
      </c>
      <c r="P63" s="25">
        <f t="shared" si="18"/>
        <v>-0.12004145277603584</v>
      </c>
      <c r="Q63" s="25">
        <f t="shared" si="18"/>
        <v>11.67480055549629</v>
      </c>
      <c r="R63" s="25">
        <f t="shared" si="18"/>
        <v>24.51076163844283</v>
      </c>
      <c r="S63" s="25">
        <f t="shared" si="18"/>
        <v>38.457684840821628</v>
      </c>
      <c r="T63" s="25">
        <f t="shared" si="18"/>
        <v>53.589631785379311</v>
      </c>
      <c r="U63" s="25">
        <f t="shared" si="18"/>
        <v>69.985124478090256</v>
      </c>
      <c r="V63" s="25">
        <f t="shared" si="18"/>
        <v>87.727400571350074</v>
      </c>
      <c r="W63" s="25">
        <f t="shared" si="18"/>
        <v>106.90468282103387</v>
      </c>
      <c r="X63" s="25">
        <f t="shared" si="18"/>
        <v>127.61046351313468</v>
      </c>
      <c r="Y63" s="25">
        <f t="shared" si="18"/>
        <v>149.94380467763312</v>
      </c>
      <c r="Z63" s="25">
        <f t="shared" si="18"/>
        <v>174.00965495143998</v>
      </c>
      <c r="AA63" s="25">
        <f t="shared" si="18"/>
        <v>199.91918399882138</v>
      </c>
      <c r="AB63" s="25">
        <f t="shared" si="18"/>
        <v>227.79013544677127</v>
      </c>
      <c r="AC63" s="25">
        <f t="shared" si="18"/>
        <v>257.74719934449678</v>
      </c>
      <c r="AD63" s="25">
        <f t="shared" si="18"/>
        <v>289.92240521064832</v>
      </c>
      <c r="AE63" s="25">
        <f t="shared" si="18"/>
        <v>324.45553678931213</v>
      </c>
      <c r="AF63" s="25">
        <f t="shared" si="18"/>
        <v>361.4945696962584</v>
      </c>
      <c r="AG63" s="25">
        <f t="shared" si="18"/>
        <v>401.19613320063593</v>
      </c>
      <c r="AH63" s="25">
        <f t="shared" si="18"/>
        <v>443.72599745444006</v>
      </c>
      <c r="AI63" s="25">
        <f t="shared" si="18"/>
        <v>489.25958755279015</v>
      </c>
      <c r="AJ63" s="25">
        <f t="shared" si="18"/>
        <v>537.98252588257515</v>
      </c>
      <c r="AK63" s="25">
        <f t="shared" si="18"/>
        <v>590.09120429551831</v>
      </c>
      <c r="AL63" s="25">
        <f t="shared" si="18"/>
        <v>645.79338772442372</v>
      </c>
      <c r="AM63" s="25">
        <f t="shared" si="18"/>
        <v>705.30885094850464</v>
      </c>
      <c r="AN63" s="26"/>
      <c r="AO63" s="26"/>
      <c r="AP63" s="26"/>
    </row>
    <row r="64" spans="2:42" x14ac:dyDescent="0.25">
      <c r="D64" t="s">
        <v>34</v>
      </c>
      <c r="E64" t="s">
        <v>21</v>
      </c>
      <c r="L64" s="18">
        <f>L59</f>
        <v>6257.2973276104394</v>
      </c>
      <c r="M64" s="25">
        <f>M62-M63</f>
        <v>6287.195058317282</v>
      </c>
      <c r="N64" s="25">
        <f t="shared" ref="N64:AM64" si="19">N62-N63</f>
        <v>6308.0410680266959</v>
      </c>
      <c r="O64" s="25">
        <f t="shared" si="19"/>
        <v>6318.980685925264</v>
      </c>
      <c r="P64" s="25">
        <f t="shared" si="19"/>
        <v>6319.1007273780397</v>
      </c>
      <c r="Q64" s="25">
        <f t="shared" si="19"/>
        <v>6307.4259268225433</v>
      </c>
      <c r="R64" s="25">
        <f t="shared" si="19"/>
        <v>6282.9151651841003</v>
      </c>
      <c r="S64" s="25">
        <f t="shared" si="19"/>
        <v>6244.4574803432788</v>
      </c>
      <c r="T64" s="25">
        <f t="shared" si="19"/>
        <v>6190.8678485578994</v>
      </c>
      <c r="U64" s="25">
        <f t="shared" si="19"/>
        <v>6120.8827240798091</v>
      </c>
      <c r="V64" s="25">
        <f t="shared" si="19"/>
        <v>6033.1553235084593</v>
      </c>
      <c r="W64" s="25">
        <f t="shared" si="19"/>
        <v>5926.2506406874254</v>
      </c>
      <c r="X64" s="25">
        <f t="shared" si="19"/>
        <v>5798.6401771742903</v>
      </c>
      <c r="Y64" s="25">
        <f t="shared" si="19"/>
        <v>5648.6963724966572</v>
      </c>
      <c r="Z64" s="25">
        <f t="shared" si="19"/>
        <v>5474.6867175452171</v>
      </c>
      <c r="AA64" s="25">
        <f t="shared" si="19"/>
        <v>5274.7675335463955</v>
      </c>
      <c r="AB64" s="25">
        <f t="shared" si="19"/>
        <v>5046.9773980996242</v>
      </c>
      <c r="AC64" s="25">
        <f t="shared" si="19"/>
        <v>4789.2301987551273</v>
      </c>
      <c r="AD64" s="25">
        <f t="shared" si="19"/>
        <v>4499.307793544479</v>
      </c>
      <c r="AE64" s="25">
        <f t="shared" si="19"/>
        <v>4174.8522567551672</v>
      </c>
      <c r="AF64" s="25">
        <f t="shared" si="19"/>
        <v>3813.3576870589086</v>
      </c>
      <c r="AG64" s="25">
        <f t="shared" si="19"/>
        <v>3412.1615538582728</v>
      </c>
      <c r="AH64" s="25">
        <f t="shared" si="19"/>
        <v>2968.4355564038328</v>
      </c>
      <c r="AI64" s="25">
        <f t="shared" si="19"/>
        <v>2479.1759688510429</v>
      </c>
      <c r="AJ64" s="25">
        <f t="shared" si="19"/>
        <v>1941.1934429684677</v>
      </c>
      <c r="AK64" s="25">
        <f t="shared" si="19"/>
        <v>1351.1022386729494</v>
      </c>
      <c r="AL64" s="25">
        <f t="shared" si="19"/>
        <v>705.30885094852567</v>
      </c>
      <c r="AM64" s="18">
        <f t="shared" si="19"/>
        <v>2.1032064978498966E-11</v>
      </c>
    </row>
    <row r="65" spans="2:42" x14ac:dyDescent="0.25">
      <c r="L65" s="27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7"/>
      <c r="AN65" s="25"/>
      <c r="AO65" s="25"/>
      <c r="AP65" s="25"/>
    </row>
    <row r="66" spans="2:42" x14ac:dyDescent="0.25">
      <c r="C66" t="s">
        <v>35</v>
      </c>
      <c r="L66" s="27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7"/>
      <c r="AN66" s="25"/>
      <c r="AO66" s="25"/>
      <c r="AP66" s="25"/>
    </row>
    <row r="67" spans="2:42" x14ac:dyDescent="0.25">
      <c r="D67" t="s">
        <v>36</v>
      </c>
      <c r="E67" t="s">
        <v>21</v>
      </c>
      <c r="L67" s="27"/>
      <c r="M67" s="25">
        <f>M63</f>
        <v>-29.897730706842992</v>
      </c>
      <c r="N67" s="25">
        <f>N63</f>
        <v>-20.846009709413693</v>
      </c>
      <c r="O67" s="25">
        <f t="shared" ref="O67:AM67" si="20">O63</f>
        <v>-10.939617898568201</v>
      </c>
      <c r="P67" s="25">
        <f t="shared" si="20"/>
        <v>-0.12004145277603584</v>
      </c>
      <c r="Q67" s="25">
        <f t="shared" si="20"/>
        <v>11.67480055549629</v>
      </c>
      <c r="R67" s="25">
        <f t="shared" si="20"/>
        <v>24.51076163844283</v>
      </c>
      <c r="S67" s="25">
        <f t="shared" si="20"/>
        <v>38.457684840821628</v>
      </c>
      <c r="T67" s="25">
        <f t="shared" si="20"/>
        <v>53.589631785379311</v>
      </c>
      <c r="U67" s="25">
        <f t="shared" si="20"/>
        <v>69.985124478090256</v>
      </c>
      <c r="V67" s="25">
        <f t="shared" si="20"/>
        <v>87.727400571350074</v>
      </c>
      <c r="W67" s="25">
        <f t="shared" si="20"/>
        <v>106.90468282103387</v>
      </c>
      <c r="X67" s="25">
        <f t="shared" si="20"/>
        <v>127.61046351313468</v>
      </c>
      <c r="Y67" s="25">
        <f t="shared" si="20"/>
        <v>149.94380467763312</v>
      </c>
      <c r="Z67" s="25">
        <f t="shared" si="20"/>
        <v>174.00965495143998</v>
      </c>
      <c r="AA67" s="25">
        <f t="shared" si="20"/>
        <v>199.91918399882138</v>
      </c>
      <c r="AB67" s="25">
        <f t="shared" si="20"/>
        <v>227.79013544677127</v>
      </c>
      <c r="AC67" s="25">
        <f t="shared" si="20"/>
        <v>257.74719934449678</v>
      </c>
      <c r="AD67" s="25">
        <f t="shared" si="20"/>
        <v>289.92240521064832</v>
      </c>
      <c r="AE67" s="25">
        <f t="shared" si="20"/>
        <v>324.45553678931213</v>
      </c>
      <c r="AF67" s="25">
        <f t="shared" si="20"/>
        <v>361.4945696962584</v>
      </c>
      <c r="AG67" s="25">
        <f t="shared" si="20"/>
        <v>401.19613320063593</v>
      </c>
      <c r="AH67" s="25">
        <f t="shared" si="20"/>
        <v>443.72599745444006</v>
      </c>
      <c r="AI67" s="25">
        <f t="shared" si="20"/>
        <v>489.25958755279015</v>
      </c>
      <c r="AJ67" s="25">
        <f t="shared" si="20"/>
        <v>537.98252588257515</v>
      </c>
      <c r="AK67" s="25">
        <f t="shared" si="20"/>
        <v>590.09120429551831</v>
      </c>
      <c r="AL67" s="25">
        <f t="shared" si="20"/>
        <v>645.79338772442372</v>
      </c>
      <c r="AM67" s="25">
        <f t="shared" si="20"/>
        <v>705.30885094850464</v>
      </c>
      <c r="AN67" s="25"/>
      <c r="AO67" s="25"/>
      <c r="AP67" s="25"/>
    </row>
    <row r="68" spans="2:42" x14ac:dyDescent="0.25">
      <c r="D68" t="s">
        <v>37</v>
      </c>
      <c r="E68" t="s">
        <v>21</v>
      </c>
      <c r="L68" s="27"/>
      <c r="M68" s="21">
        <f t="shared" ref="M68:AM68" si="21">($F$6+$F$8)*M62</f>
        <v>331.63675836335335</v>
      </c>
      <c r="N68" s="21">
        <f t="shared" si="21"/>
        <v>333.221338090816</v>
      </c>
      <c r="O68" s="21">
        <f t="shared" si="21"/>
        <v>334.3261766054149</v>
      </c>
      <c r="P68" s="21">
        <f t="shared" si="21"/>
        <v>334.90597635403901</v>
      </c>
      <c r="Q68" s="21">
        <f t="shared" si="21"/>
        <v>334.91233855103616</v>
      </c>
      <c r="R68" s="21">
        <f t="shared" si="21"/>
        <v>334.29357412159482</v>
      </c>
      <c r="S68" s="21">
        <f t="shared" si="21"/>
        <v>332.99450375475737</v>
      </c>
      <c r="T68" s="21">
        <f t="shared" si="21"/>
        <v>330.95624645819379</v>
      </c>
      <c r="U68" s="21">
        <f t="shared" si="21"/>
        <v>328.11599597356872</v>
      </c>
      <c r="V68" s="21">
        <f t="shared" si="21"/>
        <v>324.40678437622989</v>
      </c>
      <c r="W68" s="21">
        <f t="shared" si="21"/>
        <v>319.75723214594836</v>
      </c>
      <c r="X68" s="21">
        <f t="shared" si="21"/>
        <v>314.09128395643359</v>
      </c>
      <c r="Y68" s="21">
        <f t="shared" si="21"/>
        <v>307.32792939023744</v>
      </c>
      <c r="Z68" s="21">
        <f t="shared" si="21"/>
        <v>299.38090774232285</v>
      </c>
      <c r="AA68" s="21">
        <f t="shared" si="21"/>
        <v>290.15839602989655</v>
      </c>
      <c r="AB68" s="21">
        <f t="shared" si="21"/>
        <v>279.56267927795898</v>
      </c>
      <c r="AC68" s="21">
        <f t="shared" si="21"/>
        <v>267.4898020992801</v>
      </c>
      <c r="AD68" s="21">
        <f t="shared" si="21"/>
        <v>253.82920053402177</v>
      </c>
      <c r="AE68" s="21">
        <f t="shared" si="21"/>
        <v>238.46331305785742</v>
      </c>
      <c r="AF68" s="21">
        <f t="shared" si="21"/>
        <v>221.26716960802389</v>
      </c>
      <c r="AG68" s="21">
        <f t="shared" si="21"/>
        <v>202.10795741412218</v>
      </c>
      <c r="AH68" s="21">
        <f t="shared" si="21"/>
        <v>180.84456235448849</v>
      </c>
      <c r="AI68" s="21">
        <f t="shared" si="21"/>
        <v>157.32708448940315</v>
      </c>
      <c r="AJ68" s="21">
        <f t="shared" si="21"/>
        <v>131.39632634910529</v>
      </c>
      <c r="AK68" s="21">
        <f t="shared" si="21"/>
        <v>102.8832524773288</v>
      </c>
      <c r="AL68" s="21">
        <f t="shared" si="21"/>
        <v>71.608418649666319</v>
      </c>
      <c r="AM68" s="21">
        <f t="shared" si="21"/>
        <v>37.381369100271861</v>
      </c>
      <c r="AN68" s="25"/>
      <c r="AO68" s="25"/>
      <c r="AP68" s="25"/>
    </row>
    <row r="69" spans="2:42" x14ac:dyDescent="0.25">
      <c r="D69" t="s">
        <v>35</v>
      </c>
      <c r="E69" t="s">
        <v>21</v>
      </c>
      <c r="L69" s="27"/>
      <c r="M69" s="25">
        <f>M67+M68</f>
        <v>301.73902765651036</v>
      </c>
      <c r="N69" s="25">
        <f t="shared" ref="N69:AM69" si="22">N67+N68</f>
        <v>312.37532838140231</v>
      </c>
      <c r="O69" s="25">
        <f t="shared" si="22"/>
        <v>323.3865587068467</v>
      </c>
      <c r="P69" s="25">
        <f t="shared" si="22"/>
        <v>334.78593490126298</v>
      </c>
      <c r="Q69" s="25">
        <f t="shared" si="22"/>
        <v>346.58713910653245</v>
      </c>
      <c r="R69" s="25">
        <f t="shared" si="22"/>
        <v>358.80433576003765</v>
      </c>
      <c r="S69" s="25">
        <f t="shared" si="22"/>
        <v>371.452188595579</v>
      </c>
      <c r="T69" s="25">
        <f t="shared" si="22"/>
        <v>384.5458782435731</v>
      </c>
      <c r="U69" s="25">
        <f t="shared" si="22"/>
        <v>398.10112045165897</v>
      </c>
      <c r="V69" s="25">
        <f t="shared" si="22"/>
        <v>412.13418494757997</v>
      </c>
      <c r="W69" s="25">
        <f t="shared" si="22"/>
        <v>426.66191496698224</v>
      </c>
      <c r="X69" s="25">
        <f t="shared" si="22"/>
        <v>441.70174746956826</v>
      </c>
      <c r="Y69" s="25">
        <f t="shared" si="22"/>
        <v>457.27173406787057</v>
      </c>
      <c r="Z69" s="25">
        <f t="shared" si="22"/>
        <v>473.39056269376283</v>
      </c>
      <c r="AA69" s="25">
        <f t="shared" si="22"/>
        <v>490.07758002871793</v>
      </c>
      <c r="AB69" s="25">
        <f t="shared" si="22"/>
        <v>507.35281472473025</v>
      </c>
      <c r="AC69" s="25">
        <f t="shared" si="22"/>
        <v>525.23700144377688</v>
      </c>
      <c r="AD69" s="25">
        <f t="shared" si="22"/>
        <v>543.75160574467009</v>
      </c>
      <c r="AE69" s="25">
        <f t="shared" si="22"/>
        <v>562.91884984716955</v>
      </c>
      <c r="AF69" s="25">
        <f t="shared" si="22"/>
        <v>582.76173930428229</v>
      </c>
      <c r="AG69" s="25">
        <f t="shared" si="22"/>
        <v>603.30409061475814</v>
      </c>
      <c r="AH69" s="25">
        <f t="shared" si="22"/>
        <v>624.57055980892858</v>
      </c>
      <c r="AI69" s="25">
        <f t="shared" si="22"/>
        <v>646.5866720421933</v>
      </c>
      <c r="AJ69" s="25">
        <f t="shared" si="22"/>
        <v>669.37885223168041</v>
      </c>
      <c r="AK69" s="25">
        <f t="shared" si="22"/>
        <v>692.97445677284713</v>
      </c>
      <c r="AL69" s="25">
        <f t="shared" si="22"/>
        <v>717.40180637409003</v>
      </c>
      <c r="AM69" s="25">
        <f t="shared" si="22"/>
        <v>742.6902200487765</v>
      </c>
      <c r="AN69" s="25"/>
      <c r="AO69" s="25"/>
      <c r="AP69" s="25"/>
    </row>
    <row r="70" spans="2:42" x14ac:dyDescent="0.25">
      <c r="L70" s="27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</row>
    <row r="71" spans="2:42" x14ac:dyDescent="0.25">
      <c r="D71" t="s">
        <v>38</v>
      </c>
      <c r="E71" t="s">
        <v>39</v>
      </c>
      <c r="F71" s="3">
        <f>MIN(M71:AM71)</f>
        <v>1.5</v>
      </c>
      <c r="M71" s="3">
        <f t="shared" ref="M71:AM71" si="23">M54/(M69)</f>
        <v>1.5</v>
      </c>
      <c r="N71" s="3">
        <f t="shared" si="23"/>
        <v>1.5</v>
      </c>
      <c r="O71" s="3">
        <f t="shared" si="23"/>
        <v>1.5</v>
      </c>
      <c r="P71" s="3">
        <f t="shared" si="23"/>
        <v>1.5</v>
      </c>
      <c r="Q71" s="3">
        <f t="shared" si="23"/>
        <v>1.5</v>
      </c>
      <c r="R71" s="3">
        <f t="shared" si="23"/>
        <v>1.5</v>
      </c>
      <c r="S71" s="3">
        <f t="shared" si="23"/>
        <v>1.5</v>
      </c>
      <c r="T71" s="3">
        <f t="shared" si="23"/>
        <v>1.5</v>
      </c>
      <c r="U71" s="3">
        <f t="shared" si="23"/>
        <v>1.5</v>
      </c>
      <c r="V71" s="3">
        <f t="shared" si="23"/>
        <v>1.5</v>
      </c>
      <c r="W71" s="3">
        <f t="shared" si="23"/>
        <v>1.5</v>
      </c>
      <c r="X71" s="3">
        <f t="shared" si="23"/>
        <v>1.5</v>
      </c>
      <c r="Y71" s="3">
        <f t="shared" si="23"/>
        <v>1.5</v>
      </c>
      <c r="Z71" s="3">
        <f t="shared" si="23"/>
        <v>1.5</v>
      </c>
      <c r="AA71" s="3">
        <f t="shared" si="23"/>
        <v>1.5</v>
      </c>
      <c r="AB71" s="3">
        <f t="shared" si="23"/>
        <v>1.5</v>
      </c>
      <c r="AC71" s="3">
        <f t="shared" si="23"/>
        <v>1.5</v>
      </c>
      <c r="AD71" s="3">
        <f t="shared" si="23"/>
        <v>1.5</v>
      </c>
      <c r="AE71" s="3">
        <f t="shared" si="23"/>
        <v>1.5</v>
      </c>
      <c r="AF71" s="3">
        <f t="shared" si="23"/>
        <v>1.5</v>
      </c>
      <c r="AG71" s="3">
        <f t="shared" si="23"/>
        <v>1.5</v>
      </c>
      <c r="AH71" s="3">
        <f t="shared" si="23"/>
        <v>1.5</v>
      </c>
      <c r="AI71" s="3">
        <f t="shared" si="23"/>
        <v>1.5</v>
      </c>
      <c r="AJ71" s="3">
        <f t="shared" si="23"/>
        <v>1.5</v>
      </c>
      <c r="AK71" s="3">
        <f t="shared" si="23"/>
        <v>1.5</v>
      </c>
      <c r="AL71" s="3">
        <f t="shared" si="23"/>
        <v>1.5</v>
      </c>
      <c r="AM71" s="3">
        <f t="shared" si="23"/>
        <v>1.5</v>
      </c>
      <c r="AN71" s="3"/>
      <c r="AO71" s="3"/>
      <c r="AP71" s="3"/>
    </row>
    <row r="72" spans="2:42" x14ac:dyDescent="0.25">
      <c r="F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</row>
    <row r="73" spans="2:42" x14ac:dyDescent="0.25">
      <c r="B73" s="11" t="s">
        <v>40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</row>
    <row r="74" spans="2:42" x14ac:dyDescent="0.25">
      <c r="F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</row>
    <row r="75" spans="2:42" x14ac:dyDescent="0.25">
      <c r="C75" t="s">
        <v>41</v>
      </c>
    </row>
    <row r="76" spans="2:42" x14ac:dyDescent="0.25">
      <c r="D76" t="s">
        <v>32</v>
      </c>
      <c r="E76" t="s">
        <v>21</v>
      </c>
      <c r="G76" s="25"/>
      <c r="H76" s="25">
        <f>G79</f>
        <v>0</v>
      </c>
      <c r="I76" s="25">
        <f>H79</f>
        <v>1920</v>
      </c>
      <c r="J76" s="25">
        <f t="shared" ref="J76:L76" si="24">I79</f>
        <v>4608</v>
      </c>
      <c r="K76" s="25">
        <f t="shared" si="24"/>
        <v>6257.2973276104394</v>
      </c>
      <c r="L76" s="25">
        <f t="shared" si="24"/>
        <v>6257.2973276104394</v>
      </c>
    </row>
    <row r="77" spans="2:42" x14ac:dyDescent="0.25">
      <c r="D77" t="s">
        <v>42</v>
      </c>
      <c r="E77" t="s">
        <v>21</v>
      </c>
      <c r="F77" s="25"/>
      <c r="G77" s="25"/>
      <c r="H77" s="25">
        <f>IF(H37+H76+H78 &lt; $L$64, H37, $L$64-H78-H76)</f>
        <v>1920</v>
      </c>
      <c r="I77" s="25">
        <f>IF(I37+I76+I78 &lt; $L$64, I37, $L$64-I78-I76)</f>
        <v>2620.8000000000002</v>
      </c>
      <c r="J77" s="25">
        <f>IF(J37+J76+J78 &lt; $L$64, J37, $L$64-J78-J76)</f>
        <v>1488.0173276104397</v>
      </c>
      <c r="K77" s="25">
        <f>IF(K37+K76+K78 &lt; $L$64, K37, $L$64-K78-K76)</f>
        <v>-219.00540646636546</v>
      </c>
      <c r="L77" s="25">
        <f>IF(L37+L76+L78 &lt; $L$64, L37, $L$64-L78-L76)</f>
        <v>-219.00540646636546</v>
      </c>
    </row>
    <row r="78" spans="2:42" x14ac:dyDescent="0.25">
      <c r="D78" t="s">
        <v>43</v>
      </c>
      <c r="E78" t="s">
        <v>21</v>
      </c>
      <c r="G78" s="26"/>
      <c r="H78" s="21">
        <f>('[2]RiverCross + Bridge + Tunnel'!$F$6+'[2]RiverCross + Bridge + Tunnel'!$F$7)*H76</f>
        <v>0</v>
      </c>
      <c r="I78" s="21">
        <f>($F$6+$H$7)*I76</f>
        <v>67.2</v>
      </c>
      <c r="J78" s="21">
        <f t="shared" ref="J78:L78" si="25">($F$6+$H$7)*J76</f>
        <v>161.28000000000003</v>
      </c>
      <c r="K78" s="21">
        <f t="shared" si="25"/>
        <v>219.0054064663654</v>
      </c>
      <c r="L78" s="21">
        <f t="shared" si="25"/>
        <v>219.0054064663654</v>
      </c>
    </row>
    <row r="79" spans="2:42" x14ac:dyDescent="0.25">
      <c r="D79" t="s">
        <v>34</v>
      </c>
      <c r="E79" t="s">
        <v>21</v>
      </c>
      <c r="G79" s="26">
        <v>0</v>
      </c>
      <c r="H79" s="25">
        <f t="shared" ref="H79:L79" si="26">H76+H77+H78</f>
        <v>1920</v>
      </c>
      <c r="I79" s="25">
        <f t="shared" si="26"/>
        <v>4608</v>
      </c>
      <c r="J79" s="25">
        <f t="shared" si="26"/>
        <v>6257.2973276104394</v>
      </c>
      <c r="K79" s="25">
        <f t="shared" si="26"/>
        <v>6257.2973276104394</v>
      </c>
      <c r="L79" s="25">
        <f t="shared" si="26"/>
        <v>6257.2973276104394</v>
      </c>
    </row>
    <row r="81" spans="2:42" x14ac:dyDescent="0.25">
      <c r="C81" t="s">
        <v>44</v>
      </c>
    </row>
    <row r="82" spans="2:42" x14ac:dyDescent="0.25">
      <c r="D82" t="s">
        <v>32</v>
      </c>
      <c r="E82" t="s">
        <v>21</v>
      </c>
      <c r="H82" s="8">
        <f>G84</f>
        <v>0</v>
      </c>
      <c r="I82" s="8">
        <f t="shared" ref="I82:L82" si="27">H84</f>
        <v>0</v>
      </c>
      <c r="J82" s="8">
        <f t="shared" si="27"/>
        <v>0</v>
      </c>
      <c r="K82" s="8">
        <f t="shared" si="27"/>
        <v>1886.5746723895609</v>
      </c>
      <c r="L82" s="8">
        <f t="shared" si="27"/>
        <v>4940.2373588559267</v>
      </c>
    </row>
    <row r="83" spans="2:42" x14ac:dyDescent="0.25">
      <c r="D83" t="s">
        <v>45</v>
      </c>
      <c r="E83" t="s">
        <v>21</v>
      </c>
      <c r="F83" s="26"/>
      <c r="H83" s="21">
        <f>H37-H77</f>
        <v>0</v>
      </c>
      <c r="I83" s="21">
        <f>I37-I77</f>
        <v>0</v>
      </c>
      <c r="J83" s="21">
        <f>J37-J77</f>
        <v>1886.5746723895609</v>
      </c>
      <c r="K83" s="21">
        <f>K37-K77</f>
        <v>3053.6626864663658</v>
      </c>
      <c r="L83" s="21">
        <f>L37-L77</f>
        <v>2465.1338416663657</v>
      </c>
    </row>
    <row r="84" spans="2:42" x14ac:dyDescent="0.25">
      <c r="D84" t="s">
        <v>34</v>
      </c>
      <c r="E84" t="s">
        <v>21</v>
      </c>
      <c r="F84" s="26"/>
      <c r="G84" s="26">
        <v>0</v>
      </c>
      <c r="H84" s="25">
        <f>H82+H83</f>
        <v>0</v>
      </c>
      <c r="I84" s="25">
        <f t="shared" ref="I84:L84" si="28">I82+I83</f>
        <v>0</v>
      </c>
      <c r="J84" s="25">
        <f t="shared" si="28"/>
        <v>1886.5746723895609</v>
      </c>
      <c r="K84" s="25">
        <f t="shared" si="28"/>
        <v>4940.2373588559267</v>
      </c>
      <c r="L84" s="25">
        <f t="shared" si="28"/>
        <v>7405.3712005222924</v>
      </c>
    </row>
    <row r="86" spans="2:42" x14ac:dyDescent="0.25">
      <c r="C86" t="s">
        <v>46</v>
      </c>
    </row>
    <row r="87" spans="2:42" x14ac:dyDescent="0.25">
      <c r="D87" t="s">
        <v>47</v>
      </c>
      <c r="E87" t="s">
        <v>21</v>
      </c>
      <c r="H87" s="8">
        <f t="shared" ref="H87:K87" si="29">H79</f>
        <v>1920</v>
      </c>
      <c r="I87" s="8">
        <f t="shared" si="29"/>
        <v>4608</v>
      </c>
      <c r="J87" s="8">
        <f t="shared" si="29"/>
        <v>6257.2973276104394</v>
      </c>
      <c r="K87" s="8">
        <f t="shared" si="29"/>
        <v>6257.2973276104394</v>
      </c>
      <c r="L87" s="8">
        <f>L79</f>
        <v>6257.2973276104394</v>
      </c>
    </row>
    <row r="88" spans="2:42" x14ac:dyDescent="0.25">
      <c r="D88" t="s">
        <v>48</v>
      </c>
      <c r="E88" t="s">
        <v>21</v>
      </c>
      <c r="H88" s="28">
        <f t="shared" ref="H88:K88" si="30">H84</f>
        <v>0</v>
      </c>
      <c r="I88" s="28">
        <f t="shared" si="30"/>
        <v>0</v>
      </c>
      <c r="J88" s="28">
        <f t="shared" si="30"/>
        <v>1886.5746723895609</v>
      </c>
      <c r="K88" s="28">
        <f t="shared" si="30"/>
        <v>4940.2373588559267</v>
      </c>
      <c r="L88" s="28">
        <f>L84</f>
        <v>7405.3712005222924</v>
      </c>
    </row>
    <row r="89" spans="2:42" x14ac:dyDescent="0.25">
      <c r="D89" t="s">
        <v>49</v>
      </c>
      <c r="E89" t="s">
        <v>21</v>
      </c>
      <c r="H89" s="8">
        <f t="shared" ref="H89:K89" si="31">SUM(H87:H88)</f>
        <v>1920</v>
      </c>
      <c r="I89" s="8">
        <f t="shared" si="31"/>
        <v>4608</v>
      </c>
      <c r="J89" s="8">
        <f t="shared" si="31"/>
        <v>8143.8720000000003</v>
      </c>
      <c r="K89" s="8">
        <f t="shared" si="31"/>
        <v>11197.534686466366</v>
      </c>
      <c r="L89" s="8">
        <f>SUM(L87:L88)</f>
        <v>13662.668528132732</v>
      </c>
    </row>
    <row r="91" spans="2:42" x14ac:dyDescent="0.25">
      <c r="B91" s="11" t="s">
        <v>50</v>
      </c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</row>
    <row r="92" spans="2:42" x14ac:dyDescent="0.25">
      <c r="E92" s="29"/>
      <c r="F92" s="25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</row>
    <row r="93" spans="2:42" x14ac:dyDescent="0.25">
      <c r="C93" t="s">
        <v>51</v>
      </c>
    </row>
    <row r="94" spans="2:42" x14ac:dyDescent="0.25">
      <c r="D94" t="s">
        <v>52</v>
      </c>
      <c r="E94" t="s">
        <v>21</v>
      </c>
      <c r="F94" s="25"/>
      <c r="H94" s="25"/>
      <c r="I94" s="25"/>
      <c r="J94" s="25"/>
      <c r="K94" s="25"/>
      <c r="L94" s="25"/>
      <c r="M94" s="25">
        <f>M52</f>
        <v>565.76067685595683</v>
      </c>
      <c r="N94" s="25">
        <f t="shared" ref="N94:AP95" si="32">N52</f>
        <v>585.70374071512924</v>
      </c>
      <c r="O94" s="25">
        <f t="shared" si="32"/>
        <v>606.34979757533756</v>
      </c>
      <c r="P94" s="25">
        <f t="shared" si="32"/>
        <v>627.72362793986804</v>
      </c>
      <c r="Q94" s="25">
        <f t="shared" si="32"/>
        <v>649.85088582474827</v>
      </c>
      <c r="R94" s="25">
        <f t="shared" si="32"/>
        <v>672.75812955007052</v>
      </c>
      <c r="S94" s="25">
        <f t="shared" si="32"/>
        <v>696.47285361671061</v>
      </c>
      <c r="T94" s="25">
        <f t="shared" si="32"/>
        <v>721.02352170669951</v>
      </c>
      <c r="U94" s="25">
        <f t="shared" si="32"/>
        <v>746.43960084686057</v>
      </c>
      <c r="V94" s="25">
        <f t="shared" si="32"/>
        <v>772.7515967767124</v>
      </c>
      <c r="W94" s="25">
        <f t="shared" si="32"/>
        <v>799.99109056309157</v>
      </c>
      <c r="X94" s="25">
        <f t="shared" si="32"/>
        <v>828.19077650544034</v>
      </c>
      <c r="Y94" s="25">
        <f t="shared" si="32"/>
        <v>857.38450137725727</v>
      </c>
      <c r="Z94" s="25">
        <f t="shared" si="32"/>
        <v>887.60730505080528</v>
      </c>
      <c r="AA94" s="25">
        <f t="shared" si="32"/>
        <v>918.89546255384607</v>
      </c>
      <c r="AB94" s="25">
        <f t="shared" si="32"/>
        <v>951.28652760886916</v>
      </c>
      <c r="AC94" s="25">
        <f t="shared" si="32"/>
        <v>984.81937770708169</v>
      </c>
      <c r="AD94" s="25">
        <f t="shared" si="32"/>
        <v>1019.5342607712563</v>
      </c>
      <c r="AE94" s="25">
        <f t="shared" si="32"/>
        <v>1055.4728434634428</v>
      </c>
      <c r="AF94" s="25">
        <f t="shared" si="32"/>
        <v>1092.6782611955293</v>
      </c>
      <c r="AG94" s="25">
        <f t="shared" si="32"/>
        <v>1131.1951699026715</v>
      </c>
      <c r="AH94" s="25">
        <f t="shared" si="32"/>
        <v>1171.0697996417409</v>
      </c>
      <c r="AI94" s="25">
        <f t="shared" si="32"/>
        <v>1212.3500100791123</v>
      </c>
      <c r="AJ94" s="25">
        <f t="shared" si="32"/>
        <v>1255.0853479344007</v>
      </c>
      <c r="AK94" s="25">
        <f t="shared" si="32"/>
        <v>1299.3271064490882</v>
      </c>
      <c r="AL94" s="25">
        <f t="shared" si="32"/>
        <v>1345.1283869514186</v>
      </c>
      <c r="AM94" s="25">
        <f t="shared" si="32"/>
        <v>1392.5441625914557</v>
      </c>
      <c r="AN94" s="25">
        <f t="shared" si="32"/>
        <v>1441.6313443228046</v>
      </c>
      <c r="AO94" s="25">
        <f t="shared" si="32"/>
        <v>1492.4488492101832</v>
      </c>
      <c r="AP94" s="25">
        <f t="shared" si="32"/>
        <v>1545.0576711448423</v>
      </c>
    </row>
    <row r="95" spans="2:42" x14ac:dyDescent="0.25">
      <c r="D95" t="s">
        <v>53</v>
      </c>
      <c r="E95" t="s">
        <v>21</v>
      </c>
      <c r="F95" s="26"/>
      <c r="H95" s="26"/>
      <c r="I95" s="26"/>
      <c r="J95" s="26"/>
      <c r="K95" s="26"/>
      <c r="L95" s="26"/>
      <c r="M95" s="26">
        <f>M53</f>
        <v>113.15213537119133</v>
      </c>
      <c r="N95" s="26">
        <f t="shared" si="32"/>
        <v>117.14074814302582</v>
      </c>
      <c r="O95" s="26">
        <f t="shared" si="32"/>
        <v>121.26995951506748</v>
      </c>
      <c r="P95" s="26">
        <f t="shared" si="32"/>
        <v>125.54472558797357</v>
      </c>
      <c r="Q95" s="26">
        <f t="shared" si="32"/>
        <v>129.97017716494963</v>
      </c>
      <c r="R95" s="26">
        <f t="shared" si="32"/>
        <v>134.55162591001408</v>
      </c>
      <c r="S95" s="26">
        <f t="shared" si="32"/>
        <v>139.2945707233421</v>
      </c>
      <c r="T95" s="26">
        <f t="shared" si="32"/>
        <v>144.20470434133986</v>
      </c>
      <c r="U95" s="26">
        <f t="shared" si="32"/>
        <v>149.28792016937209</v>
      </c>
      <c r="V95" s="26">
        <f t="shared" si="32"/>
        <v>154.55031935534245</v>
      </c>
      <c r="W95" s="26">
        <f t="shared" si="32"/>
        <v>159.99821811261828</v>
      </c>
      <c r="X95" s="26">
        <f t="shared" si="32"/>
        <v>165.63815530108803</v>
      </c>
      <c r="Y95" s="26">
        <f t="shared" si="32"/>
        <v>171.47690027545141</v>
      </c>
      <c r="Z95" s="26">
        <f t="shared" si="32"/>
        <v>177.521461010161</v>
      </c>
      <c r="AA95" s="26">
        <f t="shared" si="32"/>
        <v>183.77909251076917</v>
      </c>
      <c r="AB95" s="26">
        <f t="shared" si="32"/>
        <v>190.25730552177379</v>
      </c>
      <c r="AC95" s="26">
        <f t="shared" si="32"/>
        <v>196.96387554141629</v>
      </c>
      <c r="AD95" s="26">
        <f t="shared" si="32"/>
        <v>203.90685215425123</v>
      </c>
      <c r="AE95" s="26">
        <f t="shared" si="32"/>
        <v>211.09456869268851</v>
      </c>
      <c r="AF95" s="26">
        <f t="shared" si="32"/>
        <v>218.53565223910581</v>
      </c>
      <c r="AG95" s="26">
        <f t="shared" si="32"/>
        <v>226.23903398053426</v>
      </c>
      <c r="AH95" s="26">
        <f t="shared" si="32"/>
        <v>234.21395992834815</v>
      </c>
      <c r="AI95" s="26">
        <f t="shared" si="32"/>
        <v>242.47000201582242</v>
      </c>
      <c r="AJ95" s="26">
        <f t="shared" si="32"/>
        <v>251.0170695868801</v>
      </c>
      <c r="AK95" s="26">
        <f t="shared" si="32"/>
        <v>259.86542128981756</v>
      </c>
      <c r="AL95" s="26">
        <f t="shared" si="32"/>
        <v>269.02567739028365</v>
      </c>
      <c r="AM95" s="26">
        <f t="shared" si="32"/>
        <v>278.50883251829106</v>
      </c>
      <c r="AN95" s="26">
        <f t="shared" si="32"/>
        <v>288.32626886456086</v>
      </c>
      <c r="AO95" s="26">
        <f t="shared" si="32"/>
        <v>298.48976984203659</v>
      </c>
      <c r="AP95" s="26">
        <f t="shared" si="32"/>
        <v>309.0115342289684</v>
      </c>
    </row>
    <row r="96" spans="2:42" x14ac:dyDescent="0.25">
      <c r="D96" t="s">
        <v>54</v>
      </c>
      <c r="E96" t="s">
        <v>21</v>
      </c>
      <c r="H96" s="28">
        <f>H37</f>
        <v>1920</v>
      </c>
      <c r="I96" s="28">
        <f>I37</f>
        <v>2620.8000000000002</v>
      </c>
      <c r="J96" s="28">
        <f>J37</f>
        <v>3374.5920000000006</v>
      </c>
      <c r="K96" s="28">
        <f>K37</f>
        <v>2834.6572800000004</v>
      </c>
      <c r="L96" s="28">
        <f>L37</f>
        <v>2246.1284352000002</v>
      </c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</row>
    <row r="97" spans="3:42" x14ac:dyDescent="0.25">
      <c r="D97" t="s">
        <v>55</v>
      </c>
      <c r="E97" t="s">
        <v>21</v>
      </c>
      <c r="H97" s="8">
        <f t="shared" ref="H97:L97" si="33">H94-H95-H96</f>
        <v>-1920</v>
      </c>
      <c r="I97" s="8">
        <f t="shared" si="33"/>
        <v>-2620.8000000000002</v>
      </c>
      <c r="J97" s="8">
        <f t="shared" si="33"/>
        <v>-3374.5920000000006</v>
      </c>
      <c r="K97" s="8">
        <f t="shared" si="33"/>
        <v>-2834.6572800000004</v>
      </c>
      <c r="L97" s="8">
        <f t="shared" si="33"/>
        <v>-2246.1284352000002</v>
      </c>
      <c r="M97" s="8">
        <f>M94-M95-M96</f>
        <v>452.60854148476551</v>
      </c>
      <c r="N97" s="8">
        <f t="shared" ref="N97:AP97" si="34">N94-N95-N96</f>
        <v>468.56299257210344</v>
      </c>
      <c r="O97" s="8">
        <f t="shared" si="34"/>
        <v>485.07983806027005</v>
      </c>
      <c r="P97" s="8">
        <f t="shared" si="34"/>
        <v>502.17890235189446</v>
      </c>
      <c r="Q97" s="8">
        <f t="shared" si="34"/>
        <v>519.88070865979864</v>
      </c>
      <c r="R97" s="8">
        <f t="shared" si="34"/>
        <v>538.20650364005644</v>
      </c>
      <c r="S97" s="8">
        <f t="shared" si="34"/>
        <v>557.17828289336853</v>
      </c>
      <c r="T97" s="8">
        <f t="shared" si="34"/>
        <v>576.81881736535968</v>
      </c>
      <c r="U97" s="8">
        <f t="shared" si="34"/>
        <v>597.15168067748846</v>
      </c>
      <c r="V97" s="8">
        <f t="shared" si="34"/>
        <v>618.20127742136992</v>
      </c>
      <c r="W97" s="8">
        <f t="shared" si="34"/>
        <v>639.99287245047333</v>
      </c>
      <c r="X97" s="8">
        <f t="shared" si="34"/>
        <v>662.55262120435236</v>
      </c>
      <c r="Y97" s="8">
        <f t="shared" si="34"/>
        <v>685.90760110180588</v>
      </c>
      <c r="Z97" s="8">
        <f t="shared" si="34"/>
        <v>710.08584404064425</v>
      </c>
      <c r="AA97" s="8">
        <f t="shared" si="34"/>
        <v>735.11637004307693</v>
      </c>
      <c r="AB97" s="8">
        <f t="shared" si="34"/>
        <v>761.02922208709538</v>
      </c>
      <c r="AC97" s="8">
        <f t="shared" si="34"/>
        <v>787.85550216566537</v>
      </c>
      <c r="AD97" s="8">
        <f t="shared" si="34"/>
        <v>815.62740861700513</v>
      </c>
      <c r="AE97" s="8">
        <f t="shared" si="34"/>
        <v>844.37827477075427</v>
      </c>
      <c r="AF97" s="8">
        <f t="shared" si="34"/>
        <v>874.14260895642349</v>
      </c>
      <c r="AG97" s="8">
        <f t="shared" si="34"/>
        <v>904.95613592213726</v>
      </c>
      <c r="AH97" s="8">
        <f t="shared" si="34"/>
        <v>936.85583971339281</v>
      </c>
      <c r="AI97" s="8">
        <f t="shared" si="34"/>
        <v>969.88000806328989</v>
      </c>
      <c r="AJ97" s="8">
        <f t="shared" si="34"/>
        <v>1004.0682783475206</v>
      </c>
      <c r="AK97" s="8">
        <f t="shared" si="34"/>
        <v>1039.4616851592707</v>
      </c>
      <c r="AL97" s="8">
        <f t="shared" si="34"/>
        <v>1076.102709561135</v>
      </c>
      <c r="AM97" s="8">
        <f t="shared" si="34"/>
        <v>1114.0353300731647</v>
      </c>
      <c r="AN97" s="8">
        <f t="shared" si="34"/>
        <v>1153.3050754582437</v>
      </c>
      <c r="AO97" s="8">
        <f t="shared" si="34"/>
        <v>1193.9590793681466</v>
      </c>
      <c r="AP97" s="8">
        <f t="shared" si="34"/>
        <v>1236.0461369158738</v>
      </c>
    </row>
    <row r="98" spans="3:42" x14ac:dyDescent="0.25">
      <c r="E98" s="6"/>
      <c r="F98" s="25"/>
      <c r="H98" s="25"/>
      <c r="I98" s="25"/>
      <c r="J98" s="25"/>
      <c r="K98" s="25"/>
      <c r="L98" s="8"/>
    </row>
    <row r="99" spans="3:42" x14ac:dyDescent="0.25">
      <c r="C99" t="s">
        <v>56</v>
      </c>
      <c r="F99" s="25"/>
      <c r="H99" s="25"/>
      <c r="I99" s="25"/>
      <c r="J99" s="25"/>
      <c r="K99" s="25"/>
      <c r="L99" s="8"/>
    </row>
    <row r="100" spans="3:42" x14ac:dyDescent="0.25">
      <c r="D100" t="s">
        <v>57</v>
      </c>
      <c r="E100" t="s">
        <v>21</v>
      </c>
      <c r="F100" s="25"/>
      <c r="H100" s="25">
        <f>H77</f>
        <v>1920</v>
      </c>
      <c r="I100" s="25">
        <f>I77</f>
        <v>2620.8000000000002</v>
      </c>
      <c r="J100" s="25">
        <f>J77</f>
        <v>1488.0173276104397</v>
      </c>
      <c r="K100" s="25">
        <f>K77</f>
        <v>-219.00540646636546</v>
      </c>
      <c r="L100" s="25">
        <f>L77</f>
        <v>-219.00540646636546</v>
      </c>
    </row>
    <row r="101" spans="3:42" x14ac:dyDescent="0.25">
      <c r="D101" t="s">
        <v>33</v>
      </c>
      <c r="E101" t="s">
        <v>21</v>
      </c>
      <c r="F101" s="25"/>
      <c r="H101" s="25"/>
      <c r="I101" s="25"/>
      <c r="J101" s="25"/>
      <c r="K101" s="25"/>
      <c r="L101" s="25"/>
      <c r="M101" s="8">
        <f t="shared" ref="M101:AM101" si="35">M63</f>
        <v>-29.897730706842992</v>
      </c>
      <c r="N101" s="8">
        <f t="shared" si="35"/>
        <v>-20.846009709413693</v>
      </c>
      <c r="O101" s="8">
        <f t="shared" si="35"/>
        <v>-10.939617898568201</v>
      </c>
      <c r="P101" s="8">
        <f t="shared" si="35"/>
        <v>-0.12004145277603584</v>
      </c>
      <c r="Q101" s="8">
        <f t="shared" si="35"/>
        <v>11.67480055549629</v>
      </c>
      <c r="R101" s="8">
        <f t="shared" si="35"/>
        <v>24.51076163844283</v>
      </c>
      <c r="S101" s="8">
        <f t="shared" si="35"/>
        <v>38.457684840821628</v>
      </c>
      <c r="T101" s="8">
        <f t="shared" si="35"/>
        <v>53.589631785379311</v>
      </c>
      <c r="U101" s="8">
        <f t="shared" si="35"/>
        <v>69.985124478090256</v>
      </c>
      <c r="V101" s="8">
        <f t="shared" si="35"/>
        <v>87.727400571350074</v>
      </c>
      <c r="W101" s="8">
        <f t="shared" si="35"/>
        <v>106.90468282103387</v>
      </c>
      <c r="X101" s="8">
        <f t="shared" si="35"/>
        <v>127.61046351313468</v>
      </c>
      <c r="Y101" s="8">
        <f t="shared" si="35"/>
        <v>149.94380467763312</v>
      </c>
      <c r="Z101" s="8">
        <f t="shared" si="35"/>
        <v>174.00965495143998</v>
      </c>
      <c r="AA101" s="8">
        <f t="shared" si="35"/>
        <v>199.91918399882138</v>
      </c>
      <c r="AB101" s="8">
        <f t="shared" si="35"/>
        <v>227.79013544677127</v>
      </c>
      <c r="AC101" s="8">
        <f t="shared" si="35"/>
        <v>257.74719934449678</v>
      </c>
      <c r="AD101" s="8">
        <f t="shared" si="35"/>
        <v>289.92240521064832</v>
      </c>
      <c r="AE101" s="8">
        <f t="shared" si="35"/>
        <v>324.45553678931213</v>
      </c>
      <c r="AF101" s="8">
        <f t="shared" si="35"/>
        <v>361.4945696962584</v>
      </c>
      <c r="AG101" s="8">
        <f t="shared" si="35"/>
        <v>401.19613320063593</v>
      </c>
      <c r="AH101" s="8">
        <f t="shared" si="35"/>
        <v>443.72599745444006</v>
      </c>
      <c r="AI101" s="8">
        <f t="shared" si="35"/>
        <v>489.25958755279015</v>
      </c>
      <c r="AJ101" s="8">
        <f t="shared" si="35"/>
        <v>537.98252588257515</v>
      </c>
      <c r="AK101" s="8">
        <f t="shared" si="35"/>
        <v>590.09120429551831</v>
      </c>
      <c r="AL101" s="8">
        <f t="shared" si="35"/>
        <v>645.79338772442372</v>
      </c>
      <c r="AM101" s="8">
        <f t="shared" si="35"/>
        <v>705.30885094850464</v>
      </c>
      <c r="AN101" s="8"/>
      <c r="AO101" s="8"/>
      <c r="AP101" s="8"/>
    </row>
    <row r="102" spans="3:42" x14ac:dyDescent="0.25">
      <c r="D102" t="s">
        <v>58</v>
      </c>
      <c r="E102" t="s">
        <v>21</v>
      </c>
      <c r="F102" s="26"/>
      <c r="H102" s="21"/>
      <c r="I102" s="21"/>
      <c r="J102" s="21"/>
      <c r="K102" s="21"/>
      <c r="L102" s="21"/>
      <c r="M102" s="28">
        <f>M68</f>
        <v>331.63675836335335</v>
      </c>
      <c r="N102" s="28">
        <f t="shared" ref="N102:AM102" si="36">N68</f>
        <v>333.221338090816</v>
      </c>
      <c r="O102" s="28">
        <f t="shared" si="36"/>
        <v>334.3261766054149</v>
      </c>
      <c r="P102" s="28">
        <f t="shared" si="36"/>
        <v>334.90597635403901</v>
      </c>
      <c r="Q102" s="28">
        <f t="shared" si="36"/>
        <v>334.91233855103616</v>
      </c>
      <c r="R102" s="28">
        <f t="shared" si="36"/>
        <v>334.29357412159482</v>
      </c>
      <c r="S102" s="28">
        <f t="shared" si="36"/>
        <v>332.99450375475737</v>
      </c>
      <c r="T102" s="28">
        <f t="shared" si="36"/>
        <v>330.95624645819379</v>
      </c>
      <c r="U102" s="28">
        <f t="shared" si="36"/>
        <v>328.11599597356872</v>
      </c>
      <c r="V102" s="28">
        <f t="shared" si="36"/>
        <v>324.40678437622989</v>
      </c>
      <c r="W102" s="28">
        <f t="shared" si="36"/>
        <v>319.75723214594836</v>
      </c>
      <c r="X102" s="28">
        <f t="shared" si="36"/>
        <v>314.09128395643359</v>
      </c>
      <c r="Y102" s="28">
        <f t="shared" si="36"/>
        <v>307.32792939023744</v>
      </c>
      <c r="Z102" s="28">
        <f t="shared" si="36"/>
        <v>299.38090774232285</v>
      </c>
      <c r="AA102" s="28">
        <f t="shared" si="36"/>
        <v>290.15839602989655</v>
      </c>
      <c r="AB102" s="28">
        <f t="shared" si="36"/>
        <v>279.56267927795898</v>
      </c>
      <c r="AC102" s="28">
        <f t="shared" si="36"/>
        <v>267.4898020992801</v>
      </c>
      <c r="AD102" s="28">
        <f t="shared" si="36"/>
        <v>253.82920053402177</v>
      </c>
      <c r="AE102" s="28">
        <f t="shared" si="36"/>
        <v>238.46331305785742</v>
      </c>
      <c r="AF102" s="28">
        <f t="shared" si="36"/>
        <v>221.26716960802389</v>
      </c>
      <c r="AG102" s="28">
        <f t="shared" si="36"/>
        <v>202.10795741412218</v>
      </c>
      <c r="AH102" s="28">
        <f t="shared" si="36"/>
        <v>180.84456235448849</v>
      </c>
      <c r="AI102" s="28">
        <f t="shared" si="36"/>
        <v>157.32708448940315</v>
      </c>
      <c r="AJ102" s="28">
        <f t="shared" si="36"/>
        <v>131.39632634910529</v>
      </c>
      <c r="AK102" s="28">
        <f t="shared" si="36"/>
        <v>102.8832524773288</v>
      </c>
      <c r="AL102" s="28">
        <f t="shared" si="36"/>
        <v>71.608418649666319</v>
      </c>
      <c r="AM102" s="28">
        <f t="shared" si="36"/>
        <v>37.381369100271861</v>
      </c>
      <c r="AN102" s="8"/>
      <c r="AO102" s="8"/>
      <c r="AP102" s="8"/>
    </row>
    <row r="103" spans="3:42" x14ac:dyDescent="0.25">
      <c r="D103" t="s">
        <v>59</v>
      </c>
      <c r="E103" t="s">
        <v>21</v>
      </c>
      <c r="F103" s="26"/>
      <c r="H103" s="25">
        <f t="shared" ref="H103:L103" si="37">H100-H101-H102</f>
        <v>1920</v>
      </c>
      <c r="I103" s="25">
        <f t="shared" si="37"/>
        <v>2620.8000000000002</v>
      </c>
      <c r="J103" s="25">
        <f t="shared" si="37"/>
        <v>1488.0173276104397</v>
      </c>
      <c r="K103" s="25">
        <f t="shared" si="37"/>
        <v>-219.00540646636546</v>
      </c>
      <c r="L103" s="25">
        <f t="shared" si="37"/>
        <v>-219.00540646636546</v>
      </c>
      <c r="M103" s="25">
        <f>M100-M101-M102</f>
        <v>-301.73902765651036</v>
      </c>
      <c r="N103" s="25">
        <f t="shared" ref="N103:AM103" si="38">N100-N101-N102</f>
        <v>-312.37532838140231</v>
      </c>
      <c r="O103" s="25">
        <f t="shared" si="38"/>
        <v>-323.3865587068467</v>
      </c>
      <c r="P103" s="25">
        <f t="shared" si="38"/>
        <v>-334.78593490126298</v>
      </c>
      <c r="Q103" s="25">
        <f t="shared" si="38"/>
        <v>-346.58713910653245</v>
      </c>
      <c r="R103" s="25">
        <f t="shared" si="38"/>
        <v>-358.80433576003765</v>
      </c>
      <c r="S103" s="25">
        <f t="shared" si="38"/>
        <v>-371.452188595579</v>
      </c>
      <c r="T103" s="25">
        <f t="shared" si="38"/>
        <v>-384.5458782435731</v>
      </c>
      <c r="U103" s="25">
        <f t="shared" si="38"/>
        <v>-398.10112045165897</v>
      </c>
      <c r="V103" s="25">
        <f t="shared" si="38"/>
        <v>-412.13418494757997</v>
      </c>
      <c r="W103" s="25">
        <f t="shared" si="38"/>
        <v>-426.66191496698224</v>
      </c>
      <c r="X103" s="25">
        <f t="shared" si="38"/>
        <v>-441.70174746956826</v>
      </c>
      <c r="Y103" s="25">
        <f t="shared" si="38"/>
        <v>-457.27173406787057</v>
      </c>
      <c r="Z103" s="25">
        <f t="shared" si="38"/>
        <v>-473.39056269376283</v>
      </c>
      <c r="AA103" s="25">
        <f t="shared" si="38"/>
        <v>-490.07758002871793</v>
      </c>
      <c r="AB103" s="25">
        <f t="shared" si="38"/>
        <v>-507.35281472473025</v>
      </c>
      <c r="AC103" s="25">
        <f t="shared" si="38"/>
        <v>-525.23700144377688</v>
      </c>
      <c r="AD103" s="25">
        <f t="shared" si="38"/>
        <v>-543.75160574467009</v>
      </c>
      <c r="AE103" s="25">
        <f t="shared" si="38"/>
        <v>-562.91884984716955</v>
      </c>
      <c r="AF103" s="25">
        <f t="shared" si="38"/>
        <v>-582.76173930428229</v>
      </c>
      <c r="AG103" s="25">
        <f t="shared" si="38"/>
        <v>-603.30409061475814</v>
      </c>
      <c r="AH103" s="25">
        <f t="shared" si="38"/>
        <v>-624.57055980892858</v>
      </c>
      <c r="AI103" s="25">
        <f t="shared" si="38"/>
        <v>-646.5866720421933</v>
      </c>
      <c r="AJ103" s="25">
        <f t="shared" si="38"/>
        <v>-669.37885223168041</v>
      </c>
      <c r="AK103" s="25">
        <f t="shared" si="38"/>
        <v>-692.97445677284713</v>
      </c>
      <c r="AL103" s="25">
        <f t="shared" si="38"/>
        <v>-717.40180637409003</v>
      </c>
      <c r="AM103" s="25">
        <f t="shared" si="38"/>
        <v>-742.6902200487765</v>
      </c>
      <c r="AN103" s="26"/>
      <c r="AO103" s="26"/>
      <c r="AP103" s="26"/>
    </row>
    <row r="104" spans="3:42" x14ac:dyDescent="0.25">
      <c r="F104" s="26"/>
      <c r="H104" s="25"/>
      <c r="I104" s="25"/>
      <c r="J104" s="25"/>
      <c r="K104" s="25"/>
      <c r="L104" s="8"/>
    </row>
    <row r="105" spans="3:42" x14ac:dyDescent="0.25">
      <c r="C105" t="s">
        <v>60</v>
      </c>
      <c r="F105" s="26"/>
      <c r="H105" s="25"/>
      <c r="I105" s="25"/>
      <c r="J105" s="25"/>
      <c r="K105" s="25"/>
      <c r="L105" s="8"/>
    </row>
    <row r="106" spans="3:42" x14ac:dyDescent="0.25">
      <c r="D106" t="s">
        <v>61</v>
      </c>
      <c r="E106" t="s">
        <v>21</v>
      </c>
      <c r="F106" s="26"/>
      <c r="H106" s="25">
        <f>-H83</f>
        <v>0</v>
      </c>
      <c r="I106" s="25">
        <f t="shared" ref="I106:L106" si="39">-I83</f>
        <v>0</v>
      </c>
      <c r="J106" s="25">
        <f t="shared" si="39"/>
        <v>-1886.5746723895609</v>
      </c>
      <c r="K106" s="25">
        <f t="shared" si="39"/>
        <v>-3053.6626864663658</v>
      </c>
      <c r="L106" s="25">
        <f t="shared" si="39"/>
        <v>-2465.1338416663657</v>
      </c>
    </row>
    <row r="107" spans="3:42" x14ac:dyDescent="0.25">
      <c r="D107" t="s">
        <v>62</v>
      </c>
      <c r="E107" t="s">
        <v>21</v>
      </c>
      <c r="F107" s="26"/>
      <c r="H107" s="25"/>
      <c r="I107" s="25"/>
      <c r="J107" s="25"/>
      <c r="K107" s="25"/>
      <c r="L107" s="25"/>
      <c r="M107" s="8">
        <f>M97+M103</f>
        <v>150.86951382825515</v>
      </c>
      <c r="N107" s="8">
        <f t="shared" ref="N107:AP107" si="40">N97+N103</f>
        <v>156.18766419070113</v>
      </c>
      <c r="O107" s="8">
        <f t="shared" si="40"/>
        <v>161.69327935342335</v>
      </c>
      <c r="P107" s="8">
        <f t="shared" si="40"/>
        <v>167.39296745063149</v>
      </c>
      <c r="Q107" s="8">
        <f t="shared" si="40"/>
        <v>173.2935695532662</v>
      </c>
      <c r="R107" s="8">
        <f t="shared" si="40"/>
        <v>179.40216788001879</v>
      </c>
      <c r="S107" s="8">
        <f t="shared" si="40"/>
        <v>185.72609429778953</v>
      </c>
      <c r="T107" s="8">
        <f t="shared" si="40"/>
        <v>192.27293912178658</v>
      </c>
      <c r="U107" s="8">
        <f t="shared" si="40"/>
        <v>199.05056022582949</v>
      </c>
      <c r="V107" s="8">
        <f t="shared" si="40"/>
        <v>206.06709247378996</v>
      </c>
      <c r="W107" s="8">
        <f t="shared" si="40"/>
        <v>213.33095748349109</v>
      </c>
      <c r="X107" s="8">
        <f t="shared" si="40"/>
        <v>220.8508737347841</v>
      </c>
      <c r="Y107" s="8">
        <f t="shared" si="40"/>
        <v>228.63586703393531</v>
      </c>
      <c r="Z107" s="8">
        <f t="shared" si="40"/>
        <v>236.69528134688142</v>
      </c>
      <c r="AA107" s="8">
        <f t="shared" si="40"/>
        <v>245.03879001435899</v>
      </c>
      <c r="AB107" s="8">
        <f t="shared" si="40"/>
        <v>253.67640736236513</v>
      </c>
      <c r="AC107" s="8">
        <f t="shared" si="40"/>
        <v>262.61850072188849</v>
      </c>
      <c r="AD107" s="8">
        <f t="shared" si="40"/>
        <v>271.87580287233504</v>
      </c>
      <c r="AE107" s="8">
        <f t="shared" si="40"/>
        <v>281.45942492358472</v>
      </c>
      <c r="AF107" s="8">
        <f t="shared" si="40"/>
        <v>291.3808696521412</v>
      </c>
      <c r="AG107" s="8">
        <f t="shared" si="40"/>
        <v>301.65204530737913</v>
      </c>
      <c r="AH107" s="8">
        <f t="shared" si="40"/>
        <v>312.28527990446423</v>
      </c>
      <c r="AI107" s="8">
        <f t="shared" si="40"/>
        <v>323.29333602109659</v>
      </c>
      <c r="AJ107" s="8">
        <f t="shared" si="40"/>
        <v>334.68942611584021</v>
      </c>
      <c r="AK107" s="8">
        <f t="shared" si="40"/>
        <v>346.48722838642357</v>
      </c>
      <c r="AL107" s="8">
        <f t="shared" si="40"/>
        <v>358.70090318704501</v>
      </c>
      <c r="AM107" s="8">
        <f t="shared" si="40"/>
        <v>371.34511002438819</v>
      </c>
      <c r="AN107" s="8">
        <f t="shared" si="40"/>
        <v>1153.3050754582437</v>
      </c>
      <c r="AO107" s="8">
        <f t="shared" si="40"/>
        <v>1193.9590793681466</v>
      </c>
      <c r="AP107" s="8">
        <f t="shared" si="40"/>
        <v>1236.0461369158738</v>
      </c>
    </row>
    <row r="108" spans="3:42" x14ac:dyDescent="0.25">
      <c r="D108" t="s">
        <v>63</v>
      </c>
      <c r="E108" t="s">
        <v>21</v>
      </c>
      <c r="H108" s="28"/>
      <c r="I108" s="28"/>
      <c r="J108" s="28"/>
      <c r="K108" s="28"/>
      <c r="L108" s="28"/>
      <c r="M108" s="28">
        <f>M107</f>
        <v>150.86951382825515</v>
      </c>
      <c r="N108" s="28">
        <f t="shared" ref="N108:AP108" si="41">N107</f>
        <v>156.18766419070113</v>
      </c>
      <c r="O108" s="28">
        <f t="shared" si="41"/>
        <v>161.69327935342335</v>
      </c>
      <c r="P108" s="28">
        <f t="shared" si="41"/>
        <v>167.39296745063149</v>
      </c>
      <c r="Q108" s="28">
        <f t="shared" si="41"/>
        <v>173.2935695532662</v>
      </c>
      <c r="R108" s="28">
        <f t="shared" si="41"/>
        <v>179.40216788001879</v>
      </c>
      <c r="S108" s="28">
        <f t="shared" si="41"/>
        <v>185.72609429778953</v>
      </c>
      <c r="T108" s="28">
        <f t="shared" si="41"/>
        <v>192.27293912178658</v>
      </c>
      <c r="U108" s="28">
        <f t="shared" si="41"/>
        <v>199.05056022582949</v>
      </c>
      <c r="V108" s="28">
        <f t="shared" si="41"/>
        <v>206.06709247378996</v>
      </c>
      <c r="W108" s="28">
        <f t="shared" si="41"/>
        <v>213.33095748349109</v>
      </c>
      <c r="X108" s="28">
        <f t="shared" si="41"/>
        <v>220.8508737347841</v>
      </c>
      <c r="Y108" s="28">
        <f t="shared" si="41"/>
        <v>228.63586703393531</v>
      </c>
      <c r="Z108" s="28">
        <f t="shared" si="41"/>
        <v>236.69528134688142</v>
      </c>
      <c r="AA108" s="28">
        <f t="shared" si="41"/>
        <v>245.03879001435899</v>
      </c>
      <c r="AB108" s="28">
        <f t="shared" si="41"/>
        <v>253.67640736236513</v>
      </c>
      <c r="AC108" s="28">
        <f t="shared" si="41"/>
        <v>262.61850072188849</v>
      </c>
      <c r="AD108" s="28">
        <f t="shared" si="41"/>
        <v>271.87580287233504</v>
      </c>
      <c r="AE108" s="28">
        <f t="shared" si="41"/>
        <v>281.45942492358472</v>
      </c>
      <c r="AF108" s="28">
        <f t="shared" si="41"/>
        <v>291.3808696521412</v>
      </c>
      <c r="AG108" s="28">
        <f t="shared" si="41"/>
        <v>301.65204530737913</v>
      </c>
      <c r="AH108" s="28">
        <f t="shared" si="41"/>
        <v>312.28527990446423</v>
      </c>
      <c r="AI108" s="28">
        <f t="shared" si="41"/>
        <v>323.29333602109659</v>
      </c>
      <c r="AJ108" s="28">
        <f t="shared" si="41"/>
        <v>334.68942611584021</v>
      </c>
      <c r="AK108" s="28">
        <f t="shared" si="41"/>
        <v>346.48722838642357</v>
      </c>
      <c r="AL108" s="28">
        <f t="shared" si="41"/>
        <v>358.70090318704501</v>
      </c>
      <c r="AM108" s="28">
        <f t="shared" si="41"/>
        <v>371.34511002438819</v>
      </c>
      <c r="AN108" s="28">
        <f t="shared" si="41"/>
        <v>1153.3050754582437</v>
      </c>
      <c r="AO108" s="28">
        <f t="shared" si="41"/>
        <v>1193.9590793681466</v>
      </c>
      <c r="AP108" s="28">
        <f t="shared" si="41"/>
        <v>1236.0461369158738</v>
      </c>
    </row>
    <row r="109" spans="3:42" x14ac:dyDescent="0.25">
      <c r="D109" t="s">
        <v>64</v>
      </c>
      <c r="E109" t="s">
        <v>21</v>
      </c>
      <c r="F109" s="26"/>
      <c r="H109" s="8">
        <f t="shared" ref="H109:AP109" si="42">H106+H108</f>
        <v>0</v>
      </c>
      <c r="I109" s="8">
        <f t="shared" si="42"/>
        <v>0</v>
      </c>
      <c r="J109" s="8">
        <f t="shared" si="42"/>
        <v>-1886.5746723895609</v>
      </c>
      <c r="K109" s="8">
        <f t="shared" si="42"/>
        <v>-3053.6626864663658</v>
      </c>
      <c r="L109" s="8">
        <f t="shared" si="42"/>
        <v>-2465.1338416663657</v>
      </c>
      <c r="M109" s="8">
        <f t="shared" si="42"/>
        <v>150.86951382825515</v>
      </c>
      <c r="N109" s="8">
        <f t="shared" si="42"/>
        <v>156.18766419070113</v>
      </c>
      <c r="O109" s="8">
        <f t="shared" si="42"/>
        <v>161.69327935342335</v>
      </c>
      <c r="P109" s="8">
        <f t="shared" si="42"/>
        <v>167.39296745063149</v>
      </c>
      <c r="Q109" s="8">
        <f t="shared" si="42"/>
        <v>173.2935695532662</v>
      </c>
      <c r="R109" s="8">
        <f t="shared" si="42"/>
        <v>179.40216788001879</v>
      </c>
      <c r="S109" s="8">
        <f t="shared" si="42"/>
        <v>185.72609429778953</v>
      </c>
      <c r="T109" s="8">
        <f t="shared" si="42"/>
        <v>192.27293912178658</v>
      </c>
      <c r="U109" s="8">
        <f t="shared" si="42"/>
        <v>199.05056022582949</v>
      </c>
      <c r="V109" s="8">
        <f t="shared" si="42"/>
        <v>206.06709247378996</v>
      </c>
      <c r="W109" s="8">
        <f t="shared" si="42"/>
        <v>213.33095748349109</v>
      </c>
      <c r="X109" s="8">
        <f t="shared" si="42"/>
        <v>220.8508737347841</v>
      </c>
      <c r="Y109" s="8">
        <f t="shared" si="42"/>
        <v>228.63586703393531</v>
      </c>
      <c r="Z109" s="8">
        <f t="shared" si="42"/>
        <v>236.69528134688142</v>
      </c>
      <c r="AA109" s="8">
        <f t="shared" si="42"/>
        <v>245.03879001435899</v>
      </c>
      <c r="AB109" s="8">
        <f t="shared" si="42"/>
        <v>253.67640736236513</v>
      </c>
      <c r="AC109" s="8">
        <f t="shared" si="42"/>
        <v>262.61850072188849</v>
      </c>
      <c r="AD109" s="8">
        <f t="shared" si="42"/>
        <v>271.87580287233504</v>
      </c>
      <c r="AE109" s="8">
        <f t="shared" si="42"/>
        <v>281.45942492358472</v>
      </c>
      <c r="AF109" s="8">
        <f t="shared" si="42"/>
        <v>291.3808696521412</v>
      </c>
      <c r="AG109" s="8">
        <f t="shared" si="42"/>
        <v>301.65204530737913</v>
      </c>
      <c r="AH109" s="8">
        <f t="shared" si="42"/>
        <v>312.28527990446423</v>
      </c>
      <c r="AI109" s="8">
        <f t="shared" si="42"/>
        <v>323.29333602109659</v>
      </c>
      <c r="AJ109" s="8">
        <f t="shared" si="42"/>
        <v>334.68942611584021</v>
      </c>
      <c r="AK109" s="8">
        <f t="shared" si="42"/>
        <v>346.48722838642357</v>
      </c>
      <c r="AL109" s="8">
        <f t="shared" si="42"/>
        <v>358.70090318704501</v>
      </c>
      <c r="AM109" s="8">
        <f t="shared" si="42"/>
        <v>371.34511002438819</v>
      </c>
      <c r="AN109" s="8">
        <f t="shared" si="42"/>
        <v>1153.3050754582437</v>
      </c>
      <c r="AO109" s="8">
        <f t="shared" si="42"/>
        <v>1193.9590793681466</v>
      </c>
      <c r="AP109" s="8">
        <f t="shared" si="42"/>
        <v>1236.0461369158738</v>
      </c>
    </row>
    <row r="110" spans="3:42" x14ac:dyDescent="0.25">
      <c r="H110" s="25"/>
      <c r="I110" s="25"/>
      <c r="J110" s="25"/>
      <c r="K110" s="25"/>
      <c r="L110" s="25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</row>
    <row r="111" spans="3:42" x14ac:dyDescent="0.25">
      <c r="D111" t="s">
        <v>65</v>
      </c>
      <c r="E111" t="str">
        <f>IF(F111=0, "Yes", "No")</f>
        <v>Yes</v>
      </c>
      <c r="F111" s="8">
        <f>SUM(H111:AP111)</f>
        <v>0</v>
      </c>
      <c r="H111" s="8">
        <f t="shared" ref="H111:AP111" si="43">H97+H103-H109</f>
        <v>0</v>
      </c>
      <c r="I111" s="8">
        <f t="shared" si="43"/>
        <v>0</v>
      </c>
      <c r="J111" s="8">
        <f t="shared" si="43"/>
        <v>0</v>
      </c>
      <c r="K111" s="8">
        <f t="shared" si="43"/>
        <v>0</v>
      </c>
      <c r="L111" s="8">
        <f t="shared" si="43"/>
        <v>0</v>
      </c>
      <c r="M111" s="8">
        <f>M97+M103-M109</f>
        <v>0</v>
      </c>
      <c r="N111" s="8">
        <f t="shared" si="43"/>
        <v>0</v>
      </c>
      <c r="O111" s="8">
        <f t="shared" si="43"/>
        <v>0</v>
      </c>
      <c r="P111" s="8">
        <f t="shared" si="43"/>
        <v>0</v>
      </c>
      <c r="Q111" s="8">
        <f t="shared" si="43"/>
        <v>0</v>
      </c>
      <c r="R111" s="8">
        <f t="shared" si="43"/>
        <v>0</v>
      </c>
      <c r="S111" s="8">
        <f t="shared" si="43"/>
        <v>0</v>
      </c>
      <c r="T111" s="8">
        <f t="shared" si="43"/>
        <v>0</v>
      </c>
      <c r="U111" s="8">
        <f t="shared" si="43"/>
        <v>0</v>
      </c>
      <c r="V111" s="8">
        <f t="shared" si="43"/>
        <v>0</v>
      </c>
      <c r="W111" s="8">
        <f t="shared" si="43"/>
        <v>0</v>
      </c>
      <c r="X111" s="8">
        <f t="shared" si="43"/>
        <v>0</v>
      </c>
      <c r="Y111" s="8">
        <f t="shared" si="43"/>
        <v>0</v>
      </c>
      <c r="Z111" s="8">
        <f t="shared" si="43"/>
        <v>0</v>
      </c>
      <c r="AA111" s="8">
        <f t="shared" si="43"/>
        <v>0</v>
      </c>
      <c r="AB111" s="8">
        <f t="shared" si="43"/>
        <v>0</v>
      </c>
      <c r="AC111" s="8">
        <f t="shared" si="43"/>
        <v>0</v>
      </c>
      <c r="AD111" s="8">
        <f t="shared" si="43"/>
        <v>0</v>
      </c>
      <c r="AE111" s="8">
        <f t="shared" si="43"/>
        <v>0</v>
      </c>
      <c r="AF111" s="8">
        <f t="shared" si="43"/>
        <v>0</v>
      </c>
      <c r="AG111" s="8">
        <f t="shared" si="43"/>
        <v>0</v>
      </c>
      <c r="AH111" s="8">
        <f t="shared" si="43"/>
        <v>0</v>
      </c>
      <c r="AI111" s="8">
        <f t="shared" si="43"/>
        <v>0</v>
      </c>
      <c r="AJ111" s="8">
        <f t="shared" si="43"/>
        <v>0</v>
      </c>
      <c r="AK111" s="8">
        <f t="shared" si="43"/>
        <v>0</v>
      </c>
      <c r="AL111" s="8">
        <f t="shared" si="43"/>
        <v>0</v>
      </c>
      <c r="AM111" s="8">
        <f t="shared" si="43"/>
        <v>0</v>
      </c>
      <c r="AN111" s="8">
        <f t="shared" si="43"/>
        <v>0</v>
      </c>
      <c r="AO111" s="8">
        <f t="shared" si="43"/>
        <v>0</v>
      </c>
      <c r="AP111" s="8">
        <f t="shared" si="43"/>
        <v>0</v>
      </c>
    </row>
    <row r="113" spans="2:42" x14ac:dyDescent="0.25">
      <c r="B113" s="11" t="s">
        <v>66</v>
      </c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</row>
    <row r="115" spans="2:42" x14ac:dyDescent="0.25">
      <c r="C115" t="s">
        <v>67</v>
      </c>
      <c r="E115" t="s">
        <v>71</v>
      </c>
      <c r="G115" s="30">
        <f>IRR(H97:AP97)</f>
        <v>3.1798460542632689E-2</v>
      </c>
    </row>
    <row r="116" spans="2:42" x14ac:dyDescent="0.25">
      <c r="C116" t="s">
        <v>68</v>
      </c>
      <c r="E116" t="s">
        <v>71</v>
      </c>
      <c r="G116" s="30">
        <f>IRR(H109:$AP$109)</f>
        <v>1.5449857715787108E-2</v>
      </c>
    </row>
    <row r="117" spans="2:42" x14ac:dyDescent="0.25">
      <c r="C117" t="s">
        <v>69</v>
      </c>
      <c r="E117" t="s">
        <v>21</v>
      </c>
      <c r="G117" s="31">
        <f>NPV(F16,H109:AP109)</f>
        <v>-3679.031248401699</v>
      </c>
    </row>
    <row r="118" spans="2:42" x14ac:dyDescent="0.25">
      <c r="G118" s="8"/>
    </row>
    <row r="119" spans="2:42" x14ac:dyDescent="0.25">
      <c r="C119" t="s">
        <v>70</v>
      </c>
      <c r="G119" s="8"/>
    </row>
    <row r="120" spans="2:42" x14ac:dyDescent="0.25">
      <c r="D120" t="s">
        <v>47</v>
      </c>
      <c r="E120" t="s">
        <v>71</v>
      </c>
      <c r="G120" s="32">
        <f>L87/L89</f>
        <v>0.45798500598371905</v>
      </c>
    </row>
    <row r="121" spans="2:42" x14ac:dyDescent="0.25">
      <c r="D121" t="s">
        <v>48</v>
      </c>
      <c r="E121" t="s">
        <v>71</v>
      </c>
      <c r="G121" s="32">
        <f>L88/L89</f>
        <v>0.54201499401628095</v>
      </c>
    </row>
    <row r="122" spans="2:42" x14ac:dyDescent="0.25">
      <c r="D122" t="s">
        <v>49</v>
      </c>
      <c r="E122" t="s">
        <v>71</v>
      </c>
      <c r="G122" s="32">
        <f>SUM(G120:G121)</f>
        <v>1</v>
      </c>
    </row>
    <row r="124" spans="2:42" x14ac:dyDescent="0.25"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1B33A-690D-4099-9CA7-D1FFFFD38575}">
  <dimension ref="B2:AP125"/>
  <sheetViews>
    <sheetView tabSelected="1" topLeftCell="A148" workbookViewId="0">
      <selection activeCell="G161" sqref="G161"/>
    </sheetView>
  </sheetViews>
  <sheetFormatPr defaultRowHeight="15" x14ac:dyDescent="0.25"/>
  <cols>
    <col min="1" max="3" width="2.7109375" customWidth="1"/>
    <col min="4" max="4" width="34.140625" bestFit="1" customWidth="1"/>
    <col min="5" max="5" width="9.28515625" customWidth="1"/>
    <col min="7" max="42" width="8.7109375" customWidth="1"/>
  </cols>
  <sheetData>
    <row r="2" spans="2:42" x14ac:dyDescent="0.25">
      <c r="B2" s="9"/>
      <c r="C2" s="9"/>
      <c r="D2" s="10"/>
      <c r="E2" s="9"/>
      <c r="F2" s="9"/>
      <c r="G2" s="9">
        <v>2025</v>
      </c>
      <c r="H2" s="9">
        <v>2026</v>
      </c>
      <c r="I2" s="9">
        <v>2027</v>
      </c>
      <c r="J2" s="9">
        <v>2028</v>
      </c>
      <c r="K2" s="9">
        <v>2029</v>
      </c>
      <c r="L2" s="9">
        <v>2030</v>
      </c>
      <c r="M2" s="9">
        <v>2031</v>
      </c>
      <c r="N2" s="9">
        <v>2032</v>
      </c>
      <c r="O2" s="9">
        <v>2033</v>
      </c>
      <c r="P2" s="9">
        <v>2034</v>
      </c>
      <c r="Q2" s="9">
        <v>2035</v>
      </c>
      <c r="R2" s="9">
        <v>2036</v>
      </c>
      <c r="S2" s="9">
        <v>2037</v>
      </c>
      <c r="T2" s="9">
        <v>2038</v>
      </c>
      <c r="U2" s="9">
        <v>2039</v>
      </c>
      <c r="V2" s="9">
        <v>2040</v>
      </c>
      <c r="W2" s="9">
        <v>2041</v>
      </c>
      <c r="X2" s="9">
        <v>2042</v>
      </c>
      <c r="Y2" s="9">
        <v>2043</v>
      </c>
      <c r="Z2" s="9">
        <v>2044</v>
      </c>
      <c r="AA2" s="9">
        <v>2045</v>
      </c>
      <c r="AB2" s="9">
        <v>2046</v>
      </c>
      <c r="AC2" s="9">
        <v>2047</v>
      </c>
      <c r="AD2" s="9">
        <v>2048</v>
      </c>
      <c r="AE2" s="9">
        <v>2049</v>
      </c>
      <c r="AF2" s="9">
        <v>2050</v>
      </c>
      <c r="AG2" s="9">
        <v>2051</v>
      </c>
      <c r="AH2" s="9">
        <v>2052</v>
      </c>
      <c r="AI2" s="9">
        <v>2053</v>
      </c>
      <c r="AJ2" s="9">
        <v>2054</v>
      </c>
      <c r="AK2" s="9">
        <v>2055</v>
      </c>
      <c r="AL2" s="9">
        <v>2056</v>
      </c>
      <c r="AM2" s="9">
        <v>2057</v>
      </c>
      <c r="AN2" s="9">
        <v>2058</v>
      </c>
      <c r="AO2" s="9">
        <v>2059</v>
      </c>
      <c r="AP2" s="9">
        <v>2060</v>
      </c>
    </row>
    <row r="4" spans="2:42" x14ac:dyDescent="0.25">
      <c r="B4" s="11" t="s">
        <v>0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</row>
    <row r="6" spans="2:42" x14ac:dyDescent="0.25">
      <c r="D6" t="s">
        <v>1</v>
      </c>
      <c r="F6" s="13">
        <v>3.5000000000000003E-2</v>
      </c>
    </row>
    <row r="7" spans="2:42" x14ac:dyDescent="0.25">
      <c r="D7" t="s">
        <v>2</v>
      </c>
      <c r="F7" s="13">
        <v>2.5000000000000001E-2</v>
      </c>
    </row>
    <row r="8" spans="2:42" x14ac:dyDescent="0.25">
      <c r="D8" t="s">
        <v>3</v>
      </c>
      <c r="F8" s="13">
        <v>1.7999999999999999E-2</v>
      </c>
    </row>
    <row r="9" spans="2:42" x14ac:dyDescent="0.25">
      <c r="D9" t="s">
        <v>4</v>
      </c>
      <c r="F9" s="14">
        <v>2.5000000000000001E-2</v>
      </c>
    </row>
    <row r="10" spans="2:42" x14ac:dyDescent="0.25">
      <c r="D10" t="s">
        <v>5</v>
      </c>
      <c r="F10" s="14">
        <v>0.04</v>
      </c>
    </row>
    <row r="11" spans="2:42" x14ac:dyDescent="0.25">
      <c r="D11" t="s">
        <v>6</v>
      </c>
      <c r="F11" s="14">
        <v>0.01</v>
      </c>
    </row>
    <row r="12" spans="2:42" x14ac:dyDescent="0.25">
      <c r="D12" t="s">
        <v>7</v>
      </c>
      <c r="F12" s="15">
        <v>0.8</v>
      </c>
    </row>
    <row r="13" spans="2:42" x14ac:dyDescent="0.25">
      <c r="F13" s="16"/>
    </row>
    <row r="14" spans="2:42" x14ac:dyDescent="0.25">
      <c r="D14" t="s">
        <v>8</v>
      </c>
      <c r="F14" s="17">
        <v>1.5</v>
      </c>
    </row>
    <row r="15" spans="2:42" x14ac:dyDescent="0.25">
      <c r="D15" t="s">
        <v>9</v>
      </c>
      <c r="F15" s="15">
        <v>0.75</v>
      </c>
    </row>
    <row r="16" spans="2:42" x14ac:dyDescent="0.25">
      <c r="D16" t="s">
        <v>10</v>
      </c>
      <c r="F16" s="15">
        <v>0.13</v>
      </c>
    </row>
    <row r="17" spans="2:42" x14ac:dyDescent="0.25">
      <c r="F17" s="1"/>
    </row>
    <row r="18" spans="2:42" x14ac:dyDescent="0.25">
      <c r="D18" t="s">
        <v>11</v>
      </c>
      <c r="E18" t="s">
        <v>21</v>
      </c>
      <c r="F18" s="18">
        <v>12000</v>
      </c>
    </row>
    <row r="19" spans="2:42" x14ac:dyDescent="0.25">
      <c r="D19" t="s">
        <v>12</v>
      </c>
      <c r="F19" s="2">
        <f>SUM(H19:L19)</f>
        <v>1</v>
      </c>
      <c r="H19" s="15">
        <v>0.16</v>
      </c>
      <c r="I19" s="15">
        <v>0.21</v>
      </c>
      <c r="J19" s="15">
        <v>0.26</v>
      </c>
      <c r="K19" s="15">
        <v>0.21</v>
      </c>
      <c r="L19" s="15">
        <v>0.16</v>
      </c>
    </row>
    <row r="20" spans="2:42" x14ac:dyDescent="0.25">
      <c r="F20" s="1"/>
    </row>
    <row r="21" spans="2:42" x14ac:dyDescent="0.25">
      <c r="D21" t="s">
        <v>13</v>
      </c>
      <c r="M21" s="18">
        <v>70000</v>
      </c>
    </row>
    <row r="22" spans="2:42" x14ac:dyDescent="0.25">
      <c r="D22" t="s">
        <v>14</v>
      </c>
      <c r="E22" t="s">
        <v>21</v>
      </c>
      <c r="H22" s="19">
        <v>7</v>
      </c>
    </row>
    <row r="23" spans="2:42" x14ac:dyDescent="0.25">
      <c r="H23" s="3"/>
    </row>
    <row r="24" spans="2:42" x14ac:dyDescent="0.25">
      <c r="D24" t="s">
        <v>72</v>
      </c>
      <c r="M24" s="18">
        <v>140000</v>
      </c>
    </row>
    <row r="25" spans="2:42" x14ac:dyDescent="0.25">
      <c r="D25" t="s">
        <v>77</v>
      </c>
      <c r="E25" t="s">
        <v>21</v>
      </c>
      <c r="H25" s="19">
        <v>4</v>
      </c>
    </row>
    <row r="26" spans="2:42" x14ac:dyDescent="0.25">
      <c r="H26" s="3"/>
    </row>
    <row r="27" spans="2:42" x14ac:dyDescent="0.25">
      <c r="D27" t="s">
        <v>73</v>
      </c>
      <c r="M27" s="18">
        <v>80000</v>
      </c>
    </row>
    <row r="28" spans="2:42" x14ac:dyDescent="0.25">
      <c r="D28" t="s">
        <v>78</v>
      </c>
      <c r="E28" t="s">
        <v>21</v>
      </c>
      <c r="H28" s="19">
        <v>4</v>
      </c>
    </row>
    <row r="29" spans="2:42" x14ac:dyDescent="0.25">
      <c r="F29" s="1"/>
    </row>
    <row r="30" spans="2:42" x14ac:dyDescent="0.25">
      <c r="B30" s="11" t="s">
        <v>15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</row>
    <row r="31" spans="2:42" x14ac:dyDescent="0.25">
      <c r="F31" s="1"/>
    </row>
    <row r="32" spans="2:42" x14ac:dyDescent="0.25">
      <c r="C32" t="s">
        <v>16</v>
      </c>
      <c r="F32" s="1"/>
    </row>
    <row r="33" spans="3:42" x14ac:dyDescent="0.25">
      <c r="D33" t="s">
        <v>17</v>
      </c>
      <c r="H33" s="20">
        <v>1</v>
      </c>
      <c r="I33" s="20">
        <f>H33*(1+$F$10)</f>
        <v>1.04</v>
      </c>
      <c r="J33" s="20">
        <f t="shared" ref="J33:L33" si="0">I33*(1+$F$10)</f>
        <v>1.0816000000000001</v>
      </c>
      <c r="K33" s="20">
        <f t="shared" si="0"/>
        <v>1.1248640000000001</v>
      </c>
      <c r="L33" s="20">
        <f t="shared" si="0"/>
        <v>1.1698585600000002</v>
      </c>
    </row>
    <row r="34" spans="3:42" x14ac:dyDescent="0.25">
      <c r="D34" t="s">
        <v>18</v>
      </c>
      <c r="H34" s="20">
        <v>1</v>
      </c>
      <c r="I34" s="20">
        <f t="shared" ref="I34:M34" si="1">H34*(1+$F$9)</f>
        <v>1.0249999999999999</v>
      </c>
      <c r="J34" s="20">
        <f t="shared" si="1"/>
        <v>1.0506249999999999</v>
      </c>
      <c r="K34" s="20">
        <f t="shared" si="1"/>
        <v>1.0768906249999999</v>
      </c>
      <c r="L34" s="20">
        <f t="shared" si="1"/>
        <v>1.1038128906249998</v>
      </c>
      <c r="M34" s="20">
        <f t="shared" si="1"/>
        <v>1.1314082128906247</v>
      </c>
      <c r="N34" s="20">
        <f>M34*(1+$F$9)</f>
        <v>1.1596934182128902</v>
      </c>
      <c r="O34" s="20">
        <f t="shared" ref="O34:AP34" si="2">N34*(1+$F$9)</f>
        <v>1.1886857536682123</v>
      </c>
      <c r="P34" s="20">
        <f t="shared" si="2"/>
        <v>1.2184028975099175</v>
      </c>
      <c r="Q34" s="20">
        <f t="shared" si="2"/>
        <v>1.2488629699476652</v>
      </c>
      <c r="R34" s="20">
        <f t="shared" si="2"/>
        <v>1.2800845441963566</v>
      </c>
      <c r="S34" s="20">
        <f t="shared" si="2"/>
        <v>1.3120866578012655</v>
      </c>
      <c r="T34" s="20">
        <f t="shared" si="2"/>
        <v>1.3448888242462971</v>
      </c>
      <c r="U34" s="20">
        <f t="shared" si="2"/>
        <v>1.3785110448524545</v>
      </c>
      <c r="V34" s="20">
        <f t="shared" si="2"/>
        <v>1.4129738209737657</v>
      </c>
      <c r="W34" s="20">
        <f t="shared" si="2"/>
        <v>1.4482981664981096</v>
      </c>
      <c r="X34" s="20">
        <f t="shared" si="2"/>
        <v>1.4845056206605622</v>
      </c>
      <c r="Y34" s="20">
        <f t="shared" si="2"/>
        <v>1.5216182611770761</v>
      </c>
      <c r="Z34" s="20">
        <f t="shared" si="2"/>
        <v>1.5596587177065029</v>
      </c>
      <c r="AA34" s="20">
        <f t="shared" si="2"/>
        <v>1.5986501856491653</v>
      </c>
      <c r="AB34" s="20">
        <f t="shared" si="2"/>
        <v>1.6386164402903942</v>
      </c>
      <c r="AC34" s="20">
        <f t="shared" si="2"/>
        <v>1.6795818512976539</v>
      </c>
      <c r="AD34" s="20">
        <f t="shared" si="2"/>
        <v>1.721571397580095</v>
      </c>
      <c r="AE34" s="20">
        <f t="shared" si="2"/>
        <v>1.7646106825195973</v>
      </c>
      <c r="AF34" s="20">
        <f t="shared" si="2"/>
        <v>1.8087259495825871</v>
      </c>
      <c r="AG34" s="20">
        <f t="shared" si="2"/>
        <v>1.8539440983221516</v>
      </c>
      <c r="AH34" s="20">
        <f t="shared" si="2"/>
        <v>1.9002927007802053</v>
      </c>
      <c r="AI34" s="20">
        <f t="shared" si="2"/>
        <v>1.9478000182997102</v>
      </c>
      <c r="AJ34" s="20">
        <f t="shared" si="2"/>
        <v>1.9964950187572028</v>
      </c>
      <c r="AK34" s="20">
        <f t="shared" si="2"/>
        <v>2.0464073942261325</v>
      </c>
      <c r="AL34" s="20">
        <f t="shared" si="2"/>
        <v>2.0975675790817858</v>
      </c>
      <c r="AM34" s="20">
        <f t="shared" si="2"/>
        <v>2.1500067685588302</v>
      </c>
      <c r="AN34" s="20">
        <f t="shared" si="2"/>
        <v>2.2037569377728006</v>
      </c>
      <c r="AO34" s="20">
        <f t="shared" si="2"/>
        <v>2.2588508612171205</v>
      </c>
      <c r="AP34" s="20">
        <f t="shared" si="2"/>
        <v>2.3153221327475482</v>
      </c>
    </row>
    <row r="35" spans="3:42" x14ac:dyDescent="0.25">
      <c r="D35" t="s">
        <v>19</v>
      </c>
      <c r="H35" s="4"/>
      <c r="I35" s="4"/>
      <c r="J35" s="4"/>
      <c r="K35" s="4"/>
      <c r="L35" s="4"/>
      <c r="M35" s="20">
        <v>1</v>
      </c>
      <c r="N35" s="20">
        <f>M35*(1+$F$11)</f>
        <v>1.01</v>
      </c>
      <c r="O35" s="20">
        <f t="shared" ref="O35:AP35" si="3">N35*(1+$F$11)</f>
        <v>1.0201</v>
      </c>
      <c r="P35" s="20">
        <f t="shared" si="3"/>
        <v>1.0303009999999999</v>
      </c>
      <c r="Q35" s="20">
        <f t="shared" si="3"/>
        <v>1.04060401</v>
      </c>
      <c r="R35" s="20">
        <f t="shared" si="3"/>
        <v>1.0510100500999999</v>
      </c>
      <c r="S35" s="20">
        <f t="shared" si="3"/>
        <v>1.0615201506009999</v>
      </c>
      <c r="T35" s="20">
        <f t="shared" si="3"/>
        <v>1.0721353521070098</v>
      </c>
      <c r="U35" s="20">
        <f t="shared" si="3"/>
        <v>1.08285670562808</v>
      </c>
      <c r="V35" s="20">
        <f t="shared" si="3"/>
        <v>1.0936852726843609</v>
      </c>
      <c r="W35" s="20">
        <f t="shared" si="3"/>
        <v>1.1046221254112045</v>
      </c>
      <c r="X35" s="20">
        <f t="shared" si="3"/>
        <v>1.1156683466653166</v>
      </c>
      <c r="Y35" s="20">
        <f t="shared" si="3"/>
        <v>1.1268250301319698</v>
      </c>
      <c r="Z35" s="20">
        <f t="shared" si="3"/>
        <v>1.1380932804332895</v>
      </c>
      <c r="AA35" s="20">
        <f t="shared" si="3"/>
        <v>1.1494742132376223</v>
      </c>
      <c r="AB35" s="20">
        <f t="shared" si="3"/>
        <v>1.1609689553699987</v>
      </c>
      <c r="AC35" s="20">
        <f t="shared" si="3"/>
        <v>1.1725786449236986</v>
      </c>
      <c r="AD35" s="20">
        <f t="shared" si="3"/>
        <v>1.1843044313729356</v>
      </c>
      <c r="AE35" s="20">
        <f t="shared" si="3"/>
        <v>1.196147475686665</v>
      </c>
      <c r="AF35" s="20">
        <f t="shared" si="3"/>
        <v>1.2081089504435316</v>
      </c>
      <c r="AG35" s="20">
        <f t="shared" si="3"/>
        <v>1.220190039947967</v>
      </c>
      <c r="AH35" s="20">
        <f t="shared" si="3"/>
        <v>1.2323919403474468</v>
      </c>
      <c r="AI35" s="20">
        <f t="shared" si="3"/>
        <v>1.2447158597509214</v>
      </c>
      <c r="AJ35" s="20">
        <f t="shared" si="3"/>
        <v>1.2571630183484306</v>
      </c>
      <c r="AK35" s="20">
        <f t="shared" si="3"/>
        <v>1.269734648531915</v>
      </c>
      <c r="AL35" s="20">
        <f t="shared" si="3"/>
        <v>1.282431995017234</v>
      </c>
      <c r="AM35" s="20">
        <f t="shared" si="3"/>
        <v>1.2952563149674063</v>
      </c>
      <c r="AN35" s="20">
        <f t="shared" si="3"/>
        <v>1.3082088781170804</v>
      </c>
      <c r="AO35" s="20">
        <f t="shared" si="3"/>
        <v>1.3212909668982513</v>
      </c>
      <c r="AP35" s="20">
        <f t="shared" si="3"/>
        <v>1.3345038765672339</v>
      </c>
    </row>
    <row r="37" spans="3:42" x14ac:dyDescent="0.25">
      <c r="C37" t="s">
        <v>20</v>
      </c>
      <c r="E37" t="s">
        <v>21</v>
      </c>
      <c r="H37" s="21">
        <f>$F$18*H19*H33</f>
        <v>1920</v>
      </c>
      <c r="I37" s="21">
        <f>$F$18*I19*I33</f>
        <v>2620.8000000000002</v>
      </c>
      <c r="J37" s="21">
        <f>$F$18*J19*J33</f>
        <v>3374.5920000000006</v>
      </c>
      <c r="K37" s="21">
        <f>$F$18*K19*K33</f>
        <v>2834.6572800000004</v>
      </c>
      <c r="L37" s="21">
        <f>$F$18*L19*L33</f>
        <v>2246.1284352000002</v>
      </c>
    </row>
    <row r="40" spans="3:42" x14ac:dyDescent="0.25">
      <c r="C40" t="s">
        <v>79</v>
      </c>
      <c r="E40" s="22" t="s">
        <v>23</v>
      </c>
      <c r="M40" s="7">
        <f>M35*$M$21*365/1000000</f>
        <v>25.55</v>
      </c>
      <c r="N40" s="7">
        <f>N35*$M$21*365/1000000</f>
        <v>25.805499999999999</v>
      </c>
      <c r="O40" s="7">
        <f>O35*$M$21*365/1000000</f>
        <v>26.063555000000001</v>
      </c>
      <c r="P40" s="7">
        <f>P35*$M$21*365/1000000</f>
        <v>26.324190549999997</v>
      </c>
      <c r="Q40" s="7">
        <f t="shared" ref="Q40:AP40" si="4">Q35*$M$21*365/1000000</f>
        <v>26.5874324555</v>
      </c>
      <c r="R40" s="7">
        <f t="shared" si="4"/>
        <v>26.853306780054996</v>
      </c>
      <c r="S40" s="7">
        <f t="shared" si="4"/>
        <v>27.121839847855547</v>
      </c>
      <c r="T40" s="7">
        <f t="shared" si="4"/>
        <v>27.393058246334103</v>
      </c>
      <c r="U40" s="7">
        <f t="shared" si="4"/>
        <v>27.666988828797443</v>
      </c>
      <c r="V40" s="7">
        <f t="shared" si="4"/>
        <v>27.94365871708542</v>
      </c>
      <c r="W40" s="7">
        <f t="shared" si="4"/>
        <v>28.223095304256276</v>
      </c>
      <c r="X40" s="7">
        <f t="shared" si="4"/>
        <v>28.505326257298833</v>
      </c>
      <c r="Y40" s="7">
        <f t="shared" si="4"/>
        <v>28.790379519871831</v>
      </c>
      <c r="Z40" s="7">
        <f t="shared" si="4"/>
        <v>29.078283315070543</v>
      </c>
      <c r="AA40" s="7">
        <f t="shared" si="4"/>
        <v>29.369066148221247</v>
      </c>
      <c r="AB40" s="7">
        <f t="shared" si="4"/>
        <v>29.662756809703467</v>
      </c>
      <c r="AC40" s="7">
        <f t="shared" si="4"/>
        <v>29.9593843778005</v>
      </c>
      <c r="AD40" s="7">
        <f t="shared" si="4"/>
        <v>30.258978221578506</v>
      </c>
      <c r="AE40" s="7">
        <f t="shared" si="4"/>
        <v>30.561568003794289</v>
      </c>
      <c r="AF40" s="7">
        <f t="shared" si="4"/>
        <v>30.867183683832231</v>
      </c>
      <c r="AG40" s="7">
        <f t="shared" si="4"/>
        <v>31.175855520670556</v>
      </c>
      <c r="AH40" s="7">
        <f t="shared" si="4"/>
        <v>31.487614075877268</v>
      </c>
      <c r="AI40" s="7">
        <f t="shared" si="4"/>
        <v>31.802490216636045</v>
      </c>
      <c r="AJ40" s="7">
        <f t="shared" si="4"/>
        <v>32.120515118802402</v>
      </c>
      <c r="AK40" s="7">
        <f t="shared" si="4"/>
        <v>32.441720269990427</v>
      </c>
      <c r="AL40" s="7">
        <f t="shared" si="4"/>
        <v>32.766137472690332</v>
      </c>
      <c r="AM40" s="7">
        <f t="shared" si="4"/>
        <v>33.093798847417233</v>
      </c>
      <c r="AN40" s="7">
        <f t="shared" si="4"/>
        <v>33.424736835891409</v>
      </c>
      <c r="AO40" s="7">
        <f t="shared" si="4"/>
        <v>33.758984204250318</v>
      </c>
      <c r="AP40" s="7">
        <f t="shared" si="4"/>
        <v>34.09657404629283</v>
      </c>
    </row>
    <row r="41" spans="3:42" x14ac:dyDescent="0.25">
      <c r="C41" t="s">
        <v>80</v>
      </c>
      <c r="E41" s="23" t="s">
        <v>25</v>
      </c>
      <c r="H41" s="24">
        <f>H22</f>
        <v>7</v>
      </c>
      <c r="I41" s="24">
        <f t="shared" ref="I41:AP41" si="5">$H$22*I34</f>
        <v>7.1749999999999989</v>
      </c>
      <c r="J41" s="24">
        <f t="shared" si="5"/>
        <v>7.3543749999999992</v>
      </c>
      <c r="K41" s="24">
        <f t="shared" si="5"/>
        <v>7.5382343749999992</v>
      </c>
      <c r="L41" s="24">
        <f t="shared" si="5"/>
        <v>7.7266902343749981</v>
      </c>
      <c r="M41" s="24">
        <f t="shared" si="5"/>
        <v>7.9198574902343726</v>
      </c>
      <c r="N41" s="24">
        <f t="shared" si="5"/>
        <v>8.1178539274902306</v>
      </c>
      <c r="O41" s="24">
        <f t="shared" si="5"/>
        <v>8.3208002756774864</v>
      </c>
      <c r="P41" s="24">
        <f t="shared" si="5"/>
        <v>8.5288202825694217</v>
      </c>
      <c r="Q41" s="24">
        <f t="shared" si="5"/>
        <v>8.7420407896336556</v>
      </c>
      <c r="R41" s="24">
        <f t="shared" si="5"/>
        <v>8.9605918093744972</v>
      </c>
      <c r="S41" s="24">
        <f t="shared" si="5"/>
        <v>9.1846066046088595</v>
      </c>
      <c r="T41" s="24">
        <f t="shared" si="5"/>
        <v>9.4142217697240795</v>
      </c>
      <c r="U41" s="24">
        <f t="shared" si="5"/>
        <v>9.6495773139671819</v>
      </c>
      <c r="V41" s="24">
        <f t="shared" si="5"/>
        <v>9.890816746816359</v>
      </c>
      <c r="W41" s="24">
        <f t="shared" si="5"/>
        <v>10.138087165486768</v>
      </c>
      <c r="X41" s="24">
        <f t="shared" si="5"/>
        <v>10.391539344623936</v>
      </c>
      <c r="Y41" s="24">
        <f t="shared" si="5"/>
        <v>10.651327828239532</v>
      </c>
      <c r="Z41" s="24">
        <f t="shared" si="5"/>
        <v>10.91761102394552</v>
      </c>
      <c r="AA41" s="24">
        <f t="shared" si="5"/>
        <v>11.190551299544158</v>
      </c>
      <c r="AB41" s="24">
        <f t="shared" si="5"/>
        <v>11.470315082032759</v>
      </c>
      <c r="AC41" s="24">
        <f t="shared" si="5"/>
        <v>11.757072959083578</v>
      </c>
      <c r="AD41" s="24">
        <f t="shared" si="5"/>
        <v>12.050999783060664</v>
      </c>
      <c r="AE41" s="24">
        <f t="shared" si="5"/>
        <v>12.352274777637181</v>
      </c>
      <c r="AF41" s="24">
        <f t="shared" si="5"/>
        <v>12.66108164707811</v>
      </c>
      <c r="AG41" s="24">
        <f t="shared" si="5"/>
        <v>12.97760868825506</v>
      </c>
      <c r="AH41" s="24">
        <f t="shared" si="5"/>
        <v>13.302048905461437</v>
      </c>
      <c r="AI41" s="24">
        <f t="shared" si="5"/>
        <v>13.634600128097972</v>
      </c>
      <c r="AJ41" s="24">
        <f t="shared" si="5"/>
        <v>13.975465131300419</v>
      </c>
      <c r="AK41" s="24">
        <f t="shared" si="5"/>
        <v>14.324851759582927</v>
      </c>
      <c r="AL41" s="24">
        <f t="shared" si="5"/>
        <v>14.6829730535725</v>
      </c>
      <c r="AM41" s="24">
        <f t="shared" si="5"/>
        <v>15.050047379911812</v>
      </c>
      <c r="AN41" s="24">
        <f t="shared" si="5"/>
        <v>15.426298564409604</v>
      </c>
      <c r="AO41" s="24">
        <f t="shared" si="5"/>
        <v>15.811956028519845</v>
      </c>
      <c r="AP41" s="24">
        <f t="shared" si="5"/>
        <v>16.207254929232839</v>
      </c>
    </row>
    <row r="42" spans="3:42" x14ac:dyDescent="0.25">
      <c r="C42" t="s">
        <v>81</v>
      </c>
      <c r="E42" t="s">
        <v>21</v>
      </c>
      <c r="M42" s="25">
        <f t="shared" ref="M42:AP42" si="6">M41*M40</f>
        <v>202.35235887548822</v>
      </c>
      <c r="N42" s="25">
        <f t="shared" si="6"/>
        <v>209.48527952584914</v>
      </c>
      <c r="O42" s="25">
        <f t="shared" si="6"/>
        <v>216.86963562913533</v>
      </c>
      <c r="P42" s="25">
        <f t="shared" si="6"/>
        <v>224.51429028506229</v>
      </c>
      <c r="Q42" s="25">
        <f t="shared" si="6"/>
        <v>232.42841901761071</v>
      </c>
      <c r="R42" s="25">
        <f t="shared" si="6"/>
        <v>240.62152078798147</v>
      </c>
      <c r="S42" s="25">
        <f t="shared" si="6"/>
        <v>249.10342939575781</v>
      </c>
      <c r="T42" s="25">
        <f t="shared" si="6"/>
        <v>257.88432528195824</v>
      </c>
      <c r="U42" s="25">
        <f t="shared" si="6"/>
        <v>266.97474774814725</v>
      </c>
      <c r="V42" s="25">
        <f t="shared" si="6"/>
        <v>276.38560760626939</v>
      </c>
      <c r="W42" s="25">
        <f t="shared" si="6"/>
        <v>286.12820027439039</v>
      </c>
      <c r="X42" s="25">
        <f t="shared" si="6"/>
        <v>296.21421933406259</v>
      </c>
      <c r="Y42" s="25">
        <f t="shared" si="6"/>
        <v>306.65577056558834</v>
      </c>
      <c r="Z42" s="25">
        <f t="shared" si="6"/>
        <v>317.46538647802527</v>
      </c>
      <c r="AA42" s="25">
        <f t="shared" si="6"/>
        <v>328.65604135137562</v>
      </c>
      <c r="AB42" s="25">
        <f t="shared" si="6"/>
        <v>340.24116680901159</v>
      </c>
      <c r="AC42" s="25">
        <f t="shared" si="6"/>
        <v>352.23466793902924</v>
      </c>
      <c r="AD42" s="25">
        <f t="shared" si="6"/>
        <v>364.65093998387994</v>
      </c>
      <c r="AE42" s="25">
        <f t="shared" si="6"/>
        <v>377.50488561831168</v>
      </c>
      <c r="AF42" s="25">
        <f t="shared" si="6"/>
        <v>390.81193283635713</v>
      </c>
      <c r="AG42" s="25">
        <f t="shared" si="6"/>
        <v>404.58805346883867</v>
      </c>
      <c r="AH42" s="25">
        <f t="shared" si="6"/>
        <v>418.84978235361535</v>
      </c>
      <c r="AI42" s="25">
        <f t="shared" si="6"/>
        <v>433.61423718158034</v>
      </c>
      <c r="AJ42" s="25">
        <f t="shared" si="6"/>
        <v>448.8991390422309</v>
      </c>
      <c r="AK42" s="25">
        <f t="shared" si="6"/>
        <v>464.72283369346945</v>
      </c>
      <c r="AL42" s="25">
        <f t="shared" si="6"/>
        <v>481.10431358116426</v>
      </c>
      <c r="AM42" s="25">
        <f t="shared" si="6"/>
        <v>498.06324063490024</v>
      </c>
      <c r="AN42" s="25">
        <f t="shared" si="6"/>
        <v>515.61996986728047</v>
      </c>
      <c r="AO42" s="25">
        <f t="shared" si="6"/>
        <v>533.79557380510198</v>
      </c>
      <c r="AP42" s="25">
        <f t="shared" si="6"/>
        <v>552.61186778173192</v>
      </c>
    </row>
    <row r="43" spans="3:42" x14ac:dyDescent="0.25"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3:42" x14ac:dyDescent="0.25">
      <c r="C44" t="s">
        <v>82</v>
      </c>
      <c r="E44" s="22" t="s">
        <v>23</v>
      </c>
      <c r="M44" s="7">
        <f>M35*$M$24*365/1000000</f>
        <v>51.1</v>
      </c>
      <c r="N44" s="7">
        <f t="shared" ref="N44:AP44" si="7">N35*$M$24*365/1000000</f>
        <v>51.610999999999997</v>
      </c>
      <c r="O44" s="7">
        <f t="shared" si="7"/>
        <v>52.127110000000002</v>
      </c>
      <c r="P44" s="7">
        <f t="shared" si="7"/>
        <v>52.648381099999995</v>
      </c>
      <c r="Q44" s="7">
        <f t="shared" si="7"/>
        <v>53.174864911</v>
      </c>
      <c r="R44" s="7">
        <f t="shared" si="7"/>
        <v>53.706613560109993</v>
      </c>
      <c r="S44" s="7">
        <f t="shared" si="7"/>
        <v>54.243679695711094</v>
      </c>
      <c r="T44" s="7">
        <f t="shared" si="7"/>
        <v>54.786116492668206</v>
      </c>
      <c r="U44" s="7">
        <f t="shared" si="7"/>
        <v>55.333977657594886</v>
      </c>
      <c r="V44" s="7">
        <f t="shared" si="7"/>
        <v>55.887317434170839</v>
      </c>
      <c r="W44" s="7">
        <f t="shared" si="7"/>
        <v>56.446190608512552</v>
      </c>
      <c r="X44" s="7">
        <f t="shared" si="7"/>
        <v>57.010652514597666</v>
      </c>
      <c r="Y44" s="7">
        <f t="shared" si="7"/>
        <v>57.580759039743661</v>
      </c>
      <c r="Z44" s="7">
        <f t="shared" si="7"/>
        <v>58.156566630141086</v>
      </c>
      <c r="AA44" s="7">
        <f t="shared" si="7"/>
        <v>58.738132296442494</v>
      </c>
      <c r="AB44" s="7">
        <f t="shared" si="7"/>
        <v>59.325513619406934</v>
      </c>
      <c r="AC44" s="7">
        <f t="shared" si="7"/>
        <v>59.918768755601</v>
      </c>
      <c r="AD44" s="7">
        <f t="shared" si="7"/>
        <v>60.517956443157011</v>
      </c>
      <c r="AE44" s="7">
        <f t="shared" si="7"/>
        <v>61.123136007588577</v>
      </c>
      <c r="AF44" s="7">
        <f t="shared" si="7"/>
        <v>61.734367367664461</v>
      </c>
      <c r="AG44" s="7">
        <f t="shared" si="7"/>
        <v>62.351711041341112</v>
      </c>
      <c r="AH44" s="7">
        <f t="shared" si="7"/>
        <v>62.975228151754536</v>
      </c>
      <c r="AI44" s="7">
        <f t="shared" si="7"/>
        <v>63.60498043327209</v>
      </c>
      <c r="AJ44" s="7">
        <f t="shared" si="7"/>
        <v>64.241030237604804</v>
      </c>
      <c r="AK44" s="7">
        <f t="shared" si="7"/>
        <v>64.883440539980853</v>
      </c>
      <c r="AL44" s="7">
        <f t="shared" si="7"/>
        <v>65.532274945380664</v>
      </c>
      <c r="AM44" s="7">
        <f t="shared" si="7"/>
        <v>66.187597694834466</v>
      </c>
      <c r="AN44" s="7">
        <f t="shared" si="7"/>
        <v>66.849473671782818</v>
      </c>
      <c r="AO44" s="7">
        <f t="shared" si="7"/>
        <v>67.517968408500636</v>
      </c>
      <c r="AP44" s="7">
        <f t="shared" si="7"/>
        <v>68.193148092585659</v>
      </c>
    </row>
    <row r="45" spans="3:42" x14ac:dyDescent="0.25">
      <c r="C45" t="s">
        <v>83</v>
      </c>
      <c r="E45" s="23" t="s">
        <v>25</v>
      </c>
      <c r="H45" s="24">
        <f>H25</f>
        <v>4</v>
      </c>
      <c r="I45" s="24">
        <f>$H$25*I34</f>
        <v>4.0999999999999996</v>
      </c>
      <c r="J45" s="24">
        <f t="shared" ref="J45:AP45" si="8">$H$25*J34</f>
        <v>4.2024999999999997</v>
      </c>
      <c r="K45" s="24">
        <f t="shared" si="8"/>
        <v>4.3075624999999995</v>
      </c>
      <c r="L45" s="24">
        <f t="shared" si="8"/>
        <v>4.4152515624999991</v>
      </c>
      <c r="M45" s="24">
        <f t="shared" si="8"/>
        <v>4.5256328515624986</v>
      </c>
      <c r="N45" s="24">
        <f t="shared" si="8"/>
        <v>4.6387736728515607</v>
      </c>
      <c r="O45" s="24">
        <f t="shared" si="8"/>
        <v>4.7547430146728491</v>
      </c>
      <c r="P45" s="24">
        <f t="shared" si="8"/>
        <v>4.8736115900396699</v>
      </c>
      <c r="Q45" s="24">
        <f t="shared" si="8"/>
        <v>4.9954518797906609</v>
      </c>
      <c r="R45" s="24">
        <f t="shared" si="8"/>
        <v>5.1203381767854266</v>
      </c>
      <c r="S45" s="24">
        <f t="shared" si="8"/>
        <v>5.2483466312050622</v>
      </c>
      <c r="T45" s="24">
        <f t="shared" si="8"/>
        <v>5.3795552969851883</v>
      </c>
      <c r="U45" s="24">
        <f t="shared" si="8"/>
        <v>5.5140441794098178</v>
      </c>
      <c r="V45" s="24">
        <f t="shared" si="8"/>
        <v>5.6518952838950627</v>
      </c>
      <c r="W45" s="24">
        <f t="shared" si="8"/>
        <v>5.7931926659924384</v>
      </c>
      <c r="X45" s="24">
        <f t="shared" si="8"/>
        <v>5.938022482642249</v>
      </c>
      <c r="Y45" s="24">
        <f t="shared" si="8"/>
        <v>6.0864730447083044</v>
      </c>
      <c r="Z45" s="24">
        <f t="shared" si="8"/>
        <v>6.2386348708260115</v>
      </c>
      <c r="AA45" s="24">
        <f t="shared" si="8"/>
        <v>6.3946007425966611</v>
      </c>
      <c r="AB45" s="24">
        <f t="shared" si="8"/>
        <v>6.5544657611615769</v>
      </c>
      <c r="AC45" s="24">
        <f t="shared" si="8"/>
        <v>6.7183274051906157</v>
      </c>
      <c r="AD45" s="24">
        <f t="shared" si="8"/>
        <v>6.8862855903203801</v>
      </c>
      <c r="AE45" s="24">
        <f t="shared" si="8"/>
        <v>7.0584427300783892</v>
      </c>
      <c r="AF45" s="24">
        <f t="shared" si="8"/>
        <v>7.2349037983303486</v>
      </c>
      <c r="AG45" s="24">
        <f t="shared" si="8"/>
        <v>7.4157763932886063</v>
      </c>
      <c r="AH45" s="24">
        <f t="shared" si="8"/>
        <v>7.6011708031208212</v>
      </c>
      <c r="AI45" s="24">
        <f t="shared" si="8"/>
        <v>7.7912000731988407</v>
      </c>
      <c r="AJ45" s="24">
        <f t="shared" si="8"/>
        <v>7.9859800750288112</v>
      </c>
      <c r="AK45" s="24">
        <f t="shared" si="8"/>
        <v>8.18562957690453</v>
      </c>
      <c r="AL45" s="24">
        <f t="shared" si="8"/>
        <v>8.3902703163271433</v>
      </c>
      <c r="AM45" s="24">
        <f t="shared" si="8"/>
        <v>8.6000270742353209</v>
      </c>
      <c r="AN45" s="24">
        <f t="shared" si="8"/>
        <v>8.8150277510912023</v>
      </c>
      <c r="AO45" s="24">
        <f t="shared" si="8"/>
        <v>9.0354034448684821</v>
      </c>
      <c r="AP45" s="24">
        <f t="shared" si="8"/>
        <v>9.2612885309901927</v>
      </c>
    </row>
    <row r="46" spans="3:42" x14ac:dyDescent="0.25">
      <c r="C46" t="s">
        <v>84</v>
      </c>
      <c r="E46" t="s">
        <v>21</v>
      </c>
      <c r="M46" s="25">
        <f t="shared" ref="M46:AP46" si="9">M45*M44</f>
        <v>231.25983871484368</v>
      </c>
      <c r="N46" s="25">
        <f t="shared" si="9"/>
        <v>239.41174802954188</v>
      </c>
      <c r="O46" s="25">
        <f t="shared" si="9"/>
        <v>247.85101214758322</v>
      </c>
      <c r="P46" s="25">
        <f t="shared" si="9"/>
        <v>256.5877603257855</v>
      </c>
      <c r="Q46" s="25">
        <f t="shared" si="9"/>
        <v>265.63247887726942</v>
      </c>
      <c r="R46" s="25">
        <f t="shared" si="9"/>
        <v>274.99602375769308</v>
      </c>
      <c r="S46" s="25">
        <f t="shared" si="9"/>
        <v>284.68963359515175</v>
      </c>
      <c r="T46" s="25">
        <f t="shared" si="9"/>
        <v>294.72494317938083</v>
      </c>
      <c r="U46" s="25">
        <f t="shared" si="9"/>
        <v>305.11399742645398</v>
      </c>
      <c r="V46" s="25">
        <f t="shared" si="9"/>
        <v>315.86926583573648</v>
      </c>
      <c r="W46" s="25">
        <f t="shared" si="9"/>
        <v>327.00365745644615</v>
      </c>
      <c r="X46" s="25">
        <f t="shared" si="9"/>
        <v>338.53053638178579</v>
      </c>
      <c r="Y46" s="25">
        <f t="shared" si="9"/>
        <v>350.46373778924385</v>
      </c>
      <c r="Z46" s="25">
        <f t="shared" si="9"/>
        <v>362.81758454631455</v>
      </c>
      <c r="AA46" s="25">
        <f t="shared" si="9"/>
        <v>375.60690440157208</v>
      </c>
      <c r="AB46" s="25">
        <f t="shared" si="9"/>
        <v>388.84704778172755</v>
      </c>
      <c r="AC46" s="25">
        <f t="shared" si="9"/>
        <v>402.5539062160334</v>
      </c>
      <c r="AD46" s="25">
        <f t="shared" si="9"/>
        <v>416.74393141014855</v>
      </c>
      <c r="AE46" s="25">
        <f t="shared" si="9"/>
        <v>431.43415499235618</v>
      </c>
      <c r="AF46" s="25">
        <f t="shared" si="9"/>
        <v>446.64220895583674</v>
      </c>
      <c r="AG46" s="25">
        <f t="shared" si="9"/>
        <v>462.38634682152997</v>
      </c>
      <c r="AH46" s="25">
        <f t="shared" si="9"/>
        <v>478.68546554698895</v>
      </c>
      <c r="AI46" s="25">
        <f t="shared" si="9"/>
        <v>495.55912820752036</v>
      </c>
      <c r="AJ46" s="25">
        <f t="shared" si="9"/>
        <v>513.02758747683538</v>
      </c>
      <c r="AK46" s="25">
        <f t="shared" si="9"/>
        <v>531.11180993539369</v>
      </c>
      <c r="AL46" s="25">
        <f t="shared" si="9"/>
        <v>549.83350123561638</v>
      </c>
      <c r="AM46" s="25">
        <f t="shared" si="9"/>
        <v>569.21513215417167</v>
      </c>
      <c r="AN46" s="25">
        <f t="shared" si="9"/>
        <v>589.27996556260621</v>
      </c>
      <c r="AO46" s="25">
        <f t="shared" si="9"/>
        <v>610.05208434868803</v>
      </c>
      <c r="AP46" s="25">
        <f t="shared" si="9"/>
        <v>631.55642032197932</v>
      </c>
    </row>
    <row r="47" spans="3:42" x14ac:dyDescent="0.25"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</row>
    <row r="48" spans="3:42" x14ac:dyDescent="0.25">
      <c r="C48" t="s">
        <v>85</v>
      </c>
      <c r="E48" s="22" t="s">
        <v>23</v>
      </c>
      <c r="M48" s="7">
        <f>M35*$M$27*365/1000000</f>
        <v>29.2</v>
      </c>
      <c r="N48" s="7">
        <f t="shared" ref="N48:AP48" si="10">N35*$M$27*365/1000000</f>
        <v>29.492000000000001</v>
      </c>
      <c r="O48" s="7">
        <f t="shared" si="10"/>
        <v>29.786919999999999</v>
      </c>
      <c r="P48" s="7">
        <f t="shared" si="10"/>
        <v>30.084789199999996</v>
      </c>
      <c r="Q48" s="7">
        <f t="shared" si="10"/>
        <v>30.385637092</v>
      </c>
      <c r="R48" s="7">
        <f t="shared" si="10"/>
        <v>30.689493462919994</v>
      </c>
      <c r="S48" s="7">
        <f t="shared" si="10"/>
        <v>30.996388397549197</v>
      </c>
      <c r="T48" s="7">
        <f t="shared" si="10"/>
        <v>31.306352281524685</v>
      </c>
      <c r="U48" s="7">
        <f t="shared" si="10"/>
        <v>31.619415804339937</v>
      </c>
      <c r="V48" s="7">
        <f t="shared" si="10"/>
        <v>31.935609962383339</v>
      </c>
      <c r="W48" s="7">
        <f t="shared" si="10"/>
        <v>32.254966062007171</v>
      </c>
      <c r="X48" s="7">
        <f t="shared" si="10"/>
        <v>32.57751572262724</v>
      </c>
      <c r="Y48" s="7">
        <f t="shared" si="10"/>
        <v>32.903290879853522</v>
      </c>
      <c r="Z48" s="7">
        <f t="shared" si="10"/>
        <v>33.232323788652053</v>
      </c>
      <c r="AA48" s="7">
        <f t="shared" si="10"/>
        <v>33.564647026538573</v>
      </c>
      <c r="AB48" s="7">
        <f t="shared" si="10"/>
        <v>33.900293496803961</v>
      </c>
      <c r="AC48" s="7">
        <f t="shared" si="10"/>
        <v>34.239296431772004</v>
      </c>
      <c r="AD48" s="7">
        <f t="shared" si="10"/>
        <v>34.581689396089722</v>
      </c>
      <c r="AE48" s="7">
        <f t="shared" si="10"/>
        <v>34.927506290050616</v>
      </c>
      <c r="AF48" s="7">
        <f t="shared" si="10"/>
        <v>35.276781352951126</v>
      </c>
      <c r="AG48" s="7">
        <f t="shared" si="10"/>
        <v>35.629549166480636</v>
      </c>
      <c r="AH48" s="7">
        <f t="shared" si="10"/>
        <v>35.985844658145453</v>
      </c>
      <c r="AI48" s="7">
        <f t="shared" si="10"/>
        <v>36.345703104726901</v>
      </c>
      <c r="AJ48" s="7">
        <f t="shared" si="10"/>
        <v>36.709160135774169</v>
      </c>
      <c r="AK48" s="7">
        <f t="shared" si="10"/>
        <v>37.076251737131919</v>
      </c>
      <c r="AL48" s="7">
        <f t="shared" si="10"/>
        <v>37.447014254503237</v>
      </c>
      <c r="AM48" s="7">
        <f t="shared" si="10"/>
        <v>37.821484397048266</v>
      </c>
      <c r="AN48" s="7">
        <f t="shared" si="10"/>
        <v>38.199699241018749</v>
      </c>
      <c r="AO48" s="7">
        <f t="shared" si="10"/>
        <v>38.581696233428943</v>
      </c>
      <c r="AP48" s="7">
        <f t="shared" si="10"/>
        <v>38.967513195763232</v>
      </c>
    </row>
    <row r="49" spans="2:42" x14ac:dyDescent="0.25">
      <c r="C49" t="s">
        <v>86</v>
      </c>
      <c r="E49" s="23" t="s">
        <v>25</v>
      </c>
      <c r="H49" s="24">
        <f>H28</f>
        <v>4</v>
      </c>
      <c r="I49" s="24">
        <f>$H$28*I34</f>
        <v>4.0999999999999996</v>
      </c>
      <c r="J49" s="24">
        <f t="shared" ref="J49:AP49" si="11">$H$28*J34</f>
        <v>4.2024999999999997</v>
      </c>
      <c r="K49" s="24">
        <f t="shared" si="11"/>
        <v>4.3075624999999995</v>
      </c>
      <c r="L49" s="24">
        <f t="shared" si="11"/>
        <v>4.4152515624999991</v>
      </c>
      <c r="M49" s="24">
        <f t="shared" si="11"/>
        <v>4.5256328515624986</v>
      </c>
      <c r="N49" s="24">
        <f t="shared" si="11"/>
        <v>4.6387736728515607</v>
      </c>
      <c r="O49" s="24">
        <f t="shared" si="11"/>
        <v>4.7547430146728491</v>
      </c>
      <c r="P49" s="24">
        <f t="shared" si="11"/>
        <v>4.8736115900396699</v>
      </c>
      <c r="Q49" s="24">
        <f t="shared" si="11"/>
        <v>4.9954518797906609</v>
      </c>
      <c r="R49" s="24">
        <f t="shared" si="11"/>
        <v>5.1203381767854266</v>
      </c>
      <c r="S49" s="24">
        <f t="shared" si="11"/>
        <v>5.2483466312050622</v>
      </c>
      <c r="T49" s="24">
        <f t="shared" si="11"/>
        <v>5.3795552969851883</v>
      </c>
      <c r="U49" s="24">
        <f t="shared" si="11"/>
        <v>5.5140441794098178</v>
      </c>
      <c r="V49" s="24">
        <f t="shared" si="11"/>
        <v>5.6518952838950627</v>
      </c>
      <c r="W49" s="24">
        <f t="shared" si="11"/>
        <v>5.7931926659924384</v>
      </c>
      <c r="X49" s="24">
        <f t="shared" si="11"/>
        <v>5.938022482642249</v>
      </c>
      <c r="Y49" s="24">
        <f t="shared" si="11"/>
        <v>6.0864730447083044</v>
      </c>
      <c r="Z49" s="24">
        <f t="shared" si="11"/>
        <v>6.2386348708260115</v>
      </c>
      <c r="AA49" s="24">
        <f t="shared" si="11"/>
        <v>6.3946007425966611</v>
      </c>
      <c r="AB49" s="24">
        <f t="shared" si="11"/>
        <v>6.5544657611615769</v>
      </c>
      <c r="AC49" s="24">
        <f t="shared" si="11"/>
        <v>6.7183274051906157</v>
      </c>
      <c r="AD49" s="24">
        <f t="shared" si="11"/>
        <v>6.8862855903203801</v>
      </c>
      <c r="AE49" s="24">
        <f t="shared" si="11"/>
        <v>7.0584427300783892</v>
      </c>
      <c r="AF49" s="24">
        <f t="shared" si="11"/>
        <v>7.2349037983303486</v>
      </c>
      <c r="AG49" s="24">
        <f t="shared" si="11"/>
        <v>7.4157763932886063</v>
      </c>
      <c r="AH49" s="24">
        <f t="shared" si="11"/>
        <v>7.6011708031208212</v>
      </c>
      <c r="AI49" s="24">
        <f t="shared" si="11"/>
        <v>7.7912000731988407</v>
      </c>
      <c r="AJ49" s="24">
        <f t="shared" si="11"/>
        <v>7.9859800750288112</v>
      </c>
      <c r="AK49" s="24">
        <f t="shared" si="11"/>
        <v>8.18562957690453</v>
      </c>
      <c r="AL49" s="24">
        <f t="shared" si="11"/>
        <v>8.3902703163271433</v>
      </c>
      <c r="AM49" s="24">
        <f t="shared" si="11"/>
        <v>8.6000270742353209</v>
      </c>
      <c r="AN49" s="24">
        <f t="shared" si="11"/>
        <v>8.8150277510912023</v>
      </c>
      <c r="AO49" s="24">
        <f t="shared" si="11"/>
        <v>9.0354034448684821</v>
      </c>
      <c r="AP49" s="24">
        <f t="shared" si="11"/>
        <v>9.2612885309901927</v>
      </c>
    </row>
    <row r="50" spans="2:42" x14ac:dyDescent="0.25">
      <c r="C50" t="s">
        <v>87</v>
      </c>
      <c r="E50" t="s">
        <v>21</v>
      </c>
      <c r="M50" s="25">
        <f t="shared" ref="M50:AP50" si="12">M49*M48</f>
        <v>132.14847926562496</v>
      </c>
      <c r="N50" s="25">
        <f t="shared" si="12"/>
        <v>136.80671315973822</v>
      </c>
      <c r="O50" s="25">
        <f t="shared" si="12"/>
        <v>141.62914979861898</v>
      </c>
      <c r="P50" s="25">
        <f t="shared" si="12"/>
        <v>146.62157732902028</v>
      </c>
      <c r="Q50" s="25">
        <f t="shared" si="12"/>
        <v>151.78998792986823</v>
      </c>
      <c r="R50" s="25">
        <f t="shared" si="12"/>
        <v>157.14058500439603</v>
      </c>
      <c r="S50" s="25">
        <f t="shared" si="12"/>
        <v>162.67979062580099</v>
      </c>
      <c r="T50" s="25">
        <f t="shared" si="12"/>
        <v>168.41425324536044</v>
      </c>
      <c r="U50" s="25">
        <f t="shared" si="12"/>
        <v>174.35085567225943</v>
      </c>
      <c r="V50" s="25">
        <f t="shared" si="12"/>
        <v>180.49672333470656</v>
      </c>
      <c r="W50" s="25">
        <f t="shared" si="12"/>
        <v>186.85923283225495</v>
      </c>
      <c r="X50" s="25">
        <f t="shared" si="12"/>
        <v>193.4460207895919</v>
      </c>
      <c r="Y50" s="25">
        <f t="shared" si="12"/>
        <v>200.26499302242505</v>
      </c>
      <c r="Z50" s="25">
        <f t="shared" si="12"/>
        <v>207.32433402646549</v>
      </c>
      <c r="AA50" s="25">
        <f t="shared" si="12"/>
        <v>214.63251680089837</v>
      </c>
      <c r="AB50" s="25">
        <f t="shared" si="12"/>
        <v>222.19831301813002</v>
      </c>
      <c r="AC50" s="25">
        <f t="shared" si="12"/>
        <v>230.03080355201911</v>
      </c>
      <c r="AD50" s="25">
        <f t="shared" si="12"/>
        <v>238.13938937722773</v>
      </c>
      <c r="AE50" s="25">
        <f t="shared" si="12"/>
        <v>246.53380285277498</v>
      </c>
      <c r="AF50" s="25">
        <f t="shared" si="12"/>
        <v>255.22411940333532</v>
      </c>
      <c r="AG50" s="25">
        <f t="shared" si="12"/>
        <v>264.22076961230283</v>
      </c>
      <c r="AH50" s="25">
        <f t="shared" si="12"/>
        <v>273.53455174113657</v>
      </c>
      <c r="AI50" s="25">
        <f t="shared" si="12"/>
        <v>283.17664469001159</v>
      </c>
      <c r="AJ50" s="25">
        <f t="shared" si="12"/>
        <v>293.15862141533444</v>
      </c>
      <c r="AK50" s="25">
        <f t="shared" si="12"/>
        <v>303.492462820225</v>
      </c>
      <c r="AL50" s="25">
        <f t="shared" si="12"/>
        <v>314.19057213463793</v>
      </c>
      <c r="AM50" s="25">
        <f t="shared" si="12"/>
        <v>325.26578980238384</v>
      </c>
      <c r="AN50" s="25">
        <f t="shared" si="12"/>
        <v>336.73140889291778</v>
      </c>
      <c r="AO50" s="25">
        <f t="shared" si="12"/>
        <v>348.60119105639319</v>
      </c>
      <c r="AP50" s="25">
        <f t="shared" si="12"/>
        <v>360.889383041131</v>
      </c>
    </row>
    <row r="51" spans="2:42" x14ac:dyDescent="0.25"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</row>
    <row r="52" spans="2:42" x14ac:dyDescent="0.25">
      <c r="C52" t="s">
        <v>88</v>
      </c>
      <c r="M52" s="25">
        <f>M42+M46+M50</f>
        <v>565.76067685595683</v>
      </c>
      <c r="N52" s="25">
        <f t="shared" ref="N52:AP52" si="13">N42+N46+N50</f>
        <v>585.70374071512924</v>
      </c>
      <c r="O52" s="25">
        <f t="shared" si="13"/>
        <v>606.34979757533756</v>
      </c>
      <c r="P52" s="25">
        <f t="shared" si="13"/>
        <v>627.72362793986804</v>
      </c>
      <c r="Q52" s="25">
        <f t="shared" si="13"/>
        <v>649.85088582474827</v>
      </c>
      <c r="R52" s="25">
        <f t="shared" si="13"/>
        <v>672.75812955007052</v>
      </c>
      <c r="S52" s="25">
        <f t="shared" si="13"/>
        <v>696.47285361671061</v>
      </c>
      <c r="T52" s="25">
        <f t="shared" si="13"/>
        <v>721.02352170669951</v>
      </c>
      <c r="U52" s="25">
        <f t="shared" si="13"/>
        <v>746.43960084686057</v>
      </c>
      <c r="V52" s="25">
        <f t="shared" si="13"/>
        <v>772.7515967767124</v>
      </c>
      <c r="W52" s="25">
        <f t="shared" si="13"/>
        <v>799.99109056309157</v>
      </c>
      <c r="X52" s="25">
        <f t="shared" si="13"/>
        <v>828.19077650544034</v>
      </c>
      <c r="Y52" s="25">
        <f t="shared" si="13"/>
        <v>857.38450137725727</v>
      </c>
      <c r="Z52" s="25">
        <f t="shared" si="13"/>
        <v>887.60730505080528</v>
      </c>
      <c r="AA52" s="25">
        <f t="shared" si="13"/>
        <v>918.89546255384607</v>
      </c>
      <c r="AB52" s="25">
        <f t="shared" si="13"/>
        <v>951.28652760886916</v>
      </c>
      <c r="AC52" s="25">
        <f t="shared" si="13"/>
        <v>984.81937770708169</v>
      </c>
      <c r="AD52" s="25">
        <f t="shared" si="13"/>
        <v>1019.5342607712563</v>
      </c>
      <c r="AE52" s="25">
        <f t="shared" si="13"/>
        <v>1055.4728434634428</v>
      </c>
      <c r="AF52" s="25">
        <f t="shared" si="13"/>
        <v>1092.6782611955293</v>
      </c>
      <c r="AG52" s="25">
        <f t="shared" si="13"/>
        <v>1131.1951699026715</v>
      </c>
      <c r="AH52" s="25">
        <f t="shared" si="13"/>
        <v>1171.0697996417409</v>
      </c>
      <c r="AI52" s="25">
        <f t="shared" si="13"/>
        <v>1212.3500100791123</v>
      </c>
      <c r="AJ52" s="25">
        <f t="shared" si="13"/>
        <v>1255.0853479344007</v>
      </c>
      <c r="AK52" s="25">
        <f t="shared" si="13"/>
        <v>1299.3271064490882</v>
      </c>
      <c r="AL52" s="25">
        <f t="shared" si="13"/>
        <v>1345.1283869514186</v>
      </c>
      <c r="AM52" s="25">
        <f t="shared" si="13"/>
        <v>1392.5441625914557</v>
      </c>
      <c r="AN52" s="25">
        <f t="shared" si="13"/>
        <v>1441.6313443228046</v>
      </c>
      <c r="AO52" s="25">
        <f t="shared" si="13"/>
        <v>1492.4488492101832</v>
      </c>
      <c r="AP52" s="25">
        <f t="shared" si="13"/>
        <v>1545.0576711448423</v>
      </c>
    </row>
    <row r="53" spans="2:42" x14ac:dyDescent="0.25">
      <c r="C53" t="s">
        <v>27</v>
      </c>
      <c r="E53" t="s">
        <v>21</v>
      </c>
      <c r="M53" s="21">
        <f>M52*(1-$F$12)</f>
        <v>113.15213537119133</v>
      </c>
      <c r="N53" s="21">
        <f>N52*(1-$F$12)</f>
        <v>117.14074814302582</v>
      </c>
      <c r="O53" s="21">
        <f t="shared" ref="O53:AP53" si="14">O52*(1-$F$12)</f>
        <v>121.26995951506748</v>
      </c>
      <c r="P53" s="21">
        <f t="shared" si="14"/>
        <v>125.54472558797357</v>
      </c>
      <c r="Q53" s="21">
        <f t="shared" si="14"/>
        <v>129.97017716494963</v>
      </c>
      <c r="R53" s="21">
        <f t="shared" si="14"/>
        <v>134.55162591001408</v>
      </c>
      <c r="S53" s="21">
        <f t="shared" si="14"/>
        <v>139.2945707233421</v>
      </c>
      <c r="T53" s="21">
        <f t="shared" si="14"/>
        <v>144.20470434133986</v>
      </c>
      <c r="U53" s="21">
        <f t="shared" si="14"/>
        <v>149.28792016937209</v>
      </c>
      <c r="V53" s="21">
        <f t="shared" si="14"/>
        <v>154.55031935534245</v>
      </c>
      <c r="W53" s="21">
        <f t="shared" si="14"/>
        <v>159.99821811261828</v>
      </c>
      <c r="X53" s="21">
        <f t="shared" si="14"/>
        <v>165.63815530108803</v>
      </c>
      <c r="Y53" s="21">
        <f t="shared" si="14"/>
        <v>171.47690027545141</v>
      </c>
      <c r="Z53" s="21">
        <f t="shared" si="14"/>
        <v>177.521461010161</v>
      </c>
      <c r="AA53" s="21">
        <f t="shared" si="14"/>
        <v>183.77909251076917</v>
      </c>
      <c r="AB53" s="21">
        <f t="shared" si="14"/>
        <v>190.25730552177379</v>
      </c>
      <c r="AC53" s="21">
        <f t="shared" si="14"/>
        <v>196.96387554141629</v>
      </c>
      <c r="AD53" s="21">
        <f t="shared" si="14"/>
        <v>203.90685215425123</v>
      </c>
      <c r="AE53" s="21">
        <f t="shared" si="14"/>
        <v>211.09456869268851</v>
      </c>
      <c r="AF53" s="21">
        <f t="shared" si="14"/>
        <v>218.53565223910581</v>
      </c>
      <c r="AG53" s="21">
        <f t="shared" si="14"/>
        <v>226.23903398053426</v>
      </c>
      <c r="AH53" s="21">
        <f t="shared" si="14"/>
        <v>234.21395992834815</v>
      </c>
      <c r="AI53" s="21">
        <f t="shared" si="14"/>
        <v>242.47000201582242</v>
      </c>
      <c r="AJ53" s="21">
        <f t="shared" si="14"/>
        <v>251.0170695868801</v>
      </c>
      <c r="AK53" s="21">
        <f t="shared" si="14"/>
        <v>259.86542128981756</v>
      </c>
      <c r="AL53" s="21">
        <f t="shared" si="14"/>
        <v>269.02567739028365</v>
      </c>
      <c r="AM53" s="21">
        <f t="shared" si="14"/>
        <v>278.50883251829106</v>
      </c>
      <c r="AN53" s="21">
        <f t="shared" si="14"/>
        <v>288.32626886456086</v>
      </c>
      <c r="AO53" s="21">
        <f t="shared" si="14"/>
        <v>298.48976984203659</v>
      </c>
      <c r="AP53" s="21">
        <f t="shared" si="14"/>
        <v>309.0115342289684</v>
      </c>
    </row>
    <row r="54" spans="2:42" x14ac:dyDescent="0.25">
      <c r="C54" t="s">
        <v>28</v>
      </c>
      <c r="E54" t="s">
        <v>21</v>
      </c>
      <c r="M54" s="25">
        <f>M52-M53</f>
        <v>452.60854148476551</v>
      </c>
      <c r="N54" s="25">
        <f t="shared" ref="N54:AP54" si="15">N52-N53</f>
        <v>468.56299257210344</v>
      </c>
      <c r="O54" s="25">
        <f t="shared" si="15"/>
        <v>485.07983806027005</v>
      </c>
      <c r="P54" s="25">
        <f t="shared" si="15"/>
        <v>502.17890235189446</v>
      </c>
      <c r="Q54" s="25">
        <f t="shared" si="15"/>
        <v>519.88070865979864</v>
      </c>
      <c r="R54" s="25">
        <f t="shared" si="15"/>
        <v>538.20650364005644</v>
      </c>
      <c r="S54" s="25">
        <f t="shared" si="15"/>
        <v>557.17828289336853</v>
      </c>
      <c r="T54" s="25">
        <f t="shared" si="15"/>
        <v>576.81881736535968</v>
      </c>
      <c r="U54" s="25">
        <f t="shared" si="15"/>
        <v>597.15168067748846</v>
      </c>
      <c r="V54" s="25">
        <f t="shared" si="15"/>
        <v>618.20127742136992</v>
      </c>
      <c r="W54" s="25">
        <f t="shared" si="15"/>
        <v>639.99287245047333</v>
      </c>
      <c r="X54" s="25">
        <f t="shared" si="15"/>
        <v>662.55262120435236</v>
      </c>
      <c r="Y54" s="25">
        <f t="shared" si="15"/>
        <v>685.90760110180588</v>
      </c>
      <c r="Z54" s="25">
        <f t="shared" si="15"/>
        <v>710.08584404064425</v>
      </c>
      <c r="AA54" s="25">
        <f t="shared" si="15"/>
        <v>735.11637004307693</v>
      </c>
      <c r="AB54" s="25">
        <f t="shared" si="15"/>
        <v>761.02922208709538</v>
      </c>
      <c r="AC54" s="25">
        <f t="shared" si="15"/>
        <v>787.85550216566537</v>
      </c>
      <c r="AD54" s="25">
        <f t="shared" si="15"/>
        <v>815.62740861700513</v>
      </c>
      <c r="AE54" s="25">
        <f t="shared" si="15"/>
        <v>844.37827477075427</v>
      </c>
      <c r="AF54" s="25">
        <f t="shared" si="15"/>
        <v>874.14260895642349</v>
      </c>
      <c r="AG54" s="25">
        <f t="shared" si="15"/>
        <v>904.95613592213726</v>
      </c>
      <c r="AH54" s="25">
        <f t="shared" si="15"/>
        <v>936.85583971339281</v>
      </c>
      <c r="AI54" s="25">
        <f t="shared" si="15"/>
        <v>969.88000806328989</v>
      </c>
      <c r="AJ54" s="25">
        <f t="shared" si="15"/>
        <v>1004.0682783475206</v>
      </c>
      <c r="AK54" s="25">
        <f t="shared" si="15"/>
        <v>1039.4616851592707</v>
      </c>
      <c r="AL54" s="25">
        <f t="shared" si="15"/>
        <v>1076.102709561135</v>
      </c>
      <c r="AM54" s="25">
        <f t="shared" si="15"/>
        <v>1114.0353300731647</v>
      </c>
      <c r="AN54" s="25">
        <f t="shared" si="15"/>
        <v>1153.3050754582437</v>
      </c>
      <c r="AO54" s="25">
        <f t="shared" si="15"/>
        <v>1193.9590793681466</v>
      </c>
      <c r="AP54" s="25">
        <f t="shared" si="15"/>
        <v>1236.0461369158738</v>
      </c>
    </row>
    <row r="56" spans="2:42" x14ac:dyDescent="0.25">
      <c r="B56" s="11" t="s">
        <v>29</v>
      </c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</row>
    <row r="57" spans="2:42" x14ac:dyDescent="0.25">
      <c r="L57" s="8"/>
    </row>
    <row r="58" spans="2:42" x14ac:dyDescent="0.25">
      <c r="C58" t="s">
        <v>30</v>
      </c>
      <c r="E58" t="s">
        <v>21</v>
      </c>
      <c r="M58" s="25">
        <f>M54/$F$14</f>
        <v>301.73902765651036</v>
      </c>
      <c r="N58" s="25">
        <f t="shared" ref="N58:AP58" si="16">N54/$F$14</f>
        <v>312.37532838140231</v>
      </c>
      <c r="O58" s="25">
        <f t="shared" si="16"/>
        <v>323.3865587068467</v>
      </c>
      <c r="P58" s="25">
        <f t="shared" si="16"/>
        <v>334.78593490126298</v>
      </c>
      <c r="Q58" s="25">
        <f t="shared" si="16"/>
        <v>346.58713910653245</v>
      </c>
      <c r="R58" s="25">
        <f t="shared" si="16"/>
        <v>358.80433576003765</v>
      </c>
      <c r="S58" s="25">
        <f t="shared" si="16"/>
        <v>371.452188595579</v>
      </c>
      <c r="T58" s="25">
        <f t="shared" si="16"/>
        <v>384.5458782435731</v>
      </c>
      <c r="U58" s="25">
        <f t="shared" si="16"/>
        <v>398.10112045165897</v>
      </c>
      <c r="V58" s="25">
        <f t="shared" si="16"/>
        <v>412.13418494757997</v>
      </c>
      <c r="W58" s="25">
        <f t="shared" si="16"/>
        <v>426.66191496698224</v>
      </c>
      <c r="X58" s="25">
        <f t="shared" si="16"/>
        <v>441.70174746956826</v>
      </c>
      <c r="Y58" s="25">
        <f t="shared" si="16"/>
        <v>457.27173406787057</v>
      </c>
      <c r="Z58" s="25">
        <f t="shared" si="16"/>
        <v>473.39056269376283</v>
      </c>
      <c r="AA58" s="25">
        <f t="shared" si="16"/>
        <v>490.07758002871793</v>
      </c>
      <c r="AB58" s="25">
        <f t="shared" si="16"/>
        <v>507.35281472473025</v>
      </c>
      <c r="AC58" s="25">
        <f t="shared" si="16"/>
        <v>525.23700144377688</v>
      </c>
      <c r="AD58" s="25">
        <f t="shared" si="16"/>
        <v>543.75160574467009</v>
      </c>
      <c r="AE58" s="25">
        <f t="shared" si="16"/>
        <v>562.91884984716955</v>
      </c>
      <c r="AF58" s="25">
        <f t="shared" si="16"/>
        <v>582.76173930428229</v>
      </c>
      <c r="AG58" s="25">
        <f t="shared" si="16"/>
        <v>603.30409061475814</v>
      </c>
      <c r="AH58" s="25">
        <f t="shared" si="16"/>
        <v>624.57055980892858</v>
      </c>
      <c r="AI58" s="25">
        <f t="shared" si="16"/>
        <v>646.5866720421933</v>
      </c>
      <c r="AJ58" s="25">
        <f t="shared" si="16"/>
        <v>669.37885223168041</v>
      </c>
      <c r="AK58" s="25">
        <f t="shared" si="16"/>
        <v>692.97445677284713</v>
      </c>
      <c r="AL58" s="25">
        <f t="shared" si="16"/>
        <v>717.40180637409003</v>
      </c>
      <c r="AM58" s="25">
        <f t="shared" si="16"/>
        <v>742.6902200487765</v>
      </c>
      <c r="AN58" s="25">
        <f t="shared" si="16"/>
        <v>768.87005030549574</v>
      </c>
      <c r="AO58" s="25">
        <f t="shared" si="16"/>
        <v>795.97271957876444</v>
      </c>
      <c r="AP58" s="25">
        <f t="shared" si="16"/>
        <v>824.03075794391589</v>
      </c>
    </row>
    <row r="59" spans="2:42" x14ac:dyDescent="0.25">
      <c r="D59" t="s">
        <v>76</v>
      </c>
      <c r="E59" t="s">
        <v>21</v>
      </c>
      <c r="L59" s="25">
        <f>NPV((F6+F8),M58:AM58)</f>
        <v>6257.2973276104394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</row>
    <row r="60" spans="2:42" x14ac:dyDescent="0.25"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</row>
    <row r="61" spans="2:42" x14ac:dyDescent="0.25">
      <c r="C61" t="s">
        <v>31</v>
      </c>
    </row>
    <row r="62" spans="2:42" x14ac:dyDescent="0.25">
      <c r="D62" t="s">
        <v>32</v>
      </c>
      <c r="E62" t="s">
        <v>21</v>
      </c>
      <c r="L62" s="25"/>
      <c r="M62" s="25">
        <f>L64</f>
        <v>6257.2973276104394</v>
      </c>
      <c r="N62" s="25">
        <f t="shared" ref="N62:AM62" si="17">M64</f>
        <v>6287.195058317282</v>
      </c>
      <c r="O62" s="25">
        <f t="shared" si="17"/>
        <v>6308.0410680266959</v>
      </c>
      <c r="P62" s="25">
        <f t="shared" si="17"/>
        <v>6318.980685925264</v>
      </c>
      <c r="Q62" s="25">
        <f t="shared" si="17"/>
        <v>6319.1007273780397</v>
      </c>
      <c r="R62" s="25">
        <f t="shared" si="17"/>
        <v>6307.4259268225433</v>
      </c>
      <c r="S62" s="25">
        <f t="shared" si="17"/>
        <v>6282.9151651841003</v>
      </c>
      <c r="T62" s="25">
        <f t="shared" si="17"/>
        <v>6244.4574803432788</v>
      </c>
      <c r="U62" s="25">
        <f t="shared" si="17"/>
        <v>6190.8678485578994</v>
      </c>
      <c r="V62" s="25">
        <f t="shared" si="17"/>
        <v>6120.8827240798091</v>
      </c>
      <c r="W62" s="25">
        <f t="shared" si="17"/>
        <v>6033.1553235084593</v>
      </c>
      <c r="X62" s="25">
        <f t="shared" si="17"/>
        <v>5926.2506406874254</v>
      </c>
      <c r="Y62" s="25">
        <f t="shared" si="17"/>
        <v>5798.6401771742903</v>
      </c>
      <c r="Z62" s="25">
        <f t="shared" si="17"/>
        <v>5648.6963724966572</v>
      </c>
      <c r="AA62" s="25">
        <f t="shared" si="17"/>
        <v>5474.6867175452171</v>
      </c>
      <c r="AB62" s="25">
        <f t="shared" si="17"/>
        <v>5274.7675335463955</v>
      </c>
      <c r="AC62" s="25">
        <f t="shared" si="17"/>
        <v>5046.9773980996242</v>
      </c>
      <c r="AD62" s="25">
        <f t="shared" si="17"/>
        <v>4789.2301987551273</v>
      </c>
      <c r="AE62" s="25">
        <f t="shared" si="17"/>
        <v>4499.307793544479</v>
      </c>
      <c r="AF62" s="25">
        <f t="shared" si="17"/>
        <v>4174.8522567551672</v>
      </c>
      <c r="AG62" s="25">
        <f t="shared" si="17"/>
        <v>3813.3576870589086</v>
      </c>
      <c r="AH62" s="25">
        <f t="shared" si="17"/>
        <v>3412.1615538582728</v>
      </c>
      <c r="AI62" s="25">
        <f t="shared" si="17"/>
        <v>2968.4355564038328</v>
      </c>
      <c r="AJ62" s="25">
        <f t="shared" si="17"/>
        <v>2479.1759688510429</v>
      </c>
      <c r="AK62" s="25">
        <f t="shared" si="17"/>
        <v>1941.1934429684677</v>
      </c>
      <c r="AL62" s="25">
        <f t="shared" si="17"/>
        <v>1351.1022386729494</v>
      </c>
      <c r="AM62" s="25">
        <f t="shared" si="17"/>
        <v>705.30885094852567</v>
      </c>
      <c r="AN62" s="25"/>
      <c r="AO62" s="25"/>
      <c r="AP62" s="25"/>
    </row>
    <row r="63" spans="2:42" x14ac:dyDescent="0.25">
      <c r="D63" t="s">
        <v>33</v>
      </c>
      <c r="E63" t="s">
        <v>21</v>
      </c>
      <c r="L63" s="25"/>
      <c r="M63" s="25">
        <f t="shared" ref="M63:AM63" si="18">M58-M68</f>
        <v>-29.897730706842992</v>
      </c>
      <c r="N63" s="25">
        <f t="shared" si="18"/>
        <v>-20.846009709413693</v>
      </c>
      <c r="O63" s="25">
        <f t="shared" si="18"/>
        <v>-10.939617898568201</v>
      </c>
      <c r="P63" s="25">
        <f t="shared" si="18"/>
        <v>-0.12004145277603584</v>
      </c>
      <c r="Q63" s="25">
        <f t="shared" si="18"/>
        <v>11.67480055549629</v>
      </c>
      <c r="R63" s="25">
        <f t="shared" si="18"/>
        <v>24.51076163844283</v>
      </c>
      <c r="S63" s="25">
        <f t="shared" si="18"/>
        <v>38.457684840821628</v>
      </c>
      <c r="T63" s="25">
        <f t="shared" si="18"/>
        <v>53.589631785379311</v>
      </c>
      <c r="U63" s="25">
        <f t="shared" si="18"/>
        <v>69.985124478090256</v>
      </c>
      <c r="V63" s="25">
        <f t="shared" si="18"/>
        <v>87.727400571350074</v>
      </c>
      <c r="W63" s="25">
        <f t="shared" si="18"/>
        <v>106.90468282103387</v>
      </c>
      <c r="X63" s="25">
        <f t="shared" si="18"/>
        <v>127.61046351313468</v>
      </c>
      <c r="Y63" s="25">
        <f t="shared" si="18"/>
        <v>149.94380467763312</v>
      </c>
      <c r="Z63" s="25">
        <f t="shared" si="18"/>
        <v>174.00965495143998</v>
      </c>
      <c r="AA63" s="25">
        <f t="shared" si="18"/>
        <v>199.91918399882138</v>
      </c>
      <c r="AB63" s="25">
        <f t="shared" si="18"/>
        <v>227.79013544677127</v>
      </c>
      <c r="AC63" s="25">
        <f t="shared" si="18"/>
        <v>257.74719934449678</v>
      </c>
      <c r="AD63" s="25">
        <f t="shared" si="18"/>
        <v>289.92240521064832</v>
      </c>
      <c r="AE63" s="25">
        <f t="shared" si="18"/>
        <v>324.45553678931213</v>
      </c>
      <c r="AF63" s="25">
        <f t="shared" si="18"/>
        <v>361.4945696962584</v>
      </c>
      <c r="AG63" s="25">
        <f t="shared" si="18"/>
        <v>401.19613320063593</v>
      </c>
      <c r="AH63" s="25">
        <f t="shared" si="18"/>
        <v>443.72599745444006</v>
      </c>
      <c r="AI63" s="25">
        <f t="shared" si="18"/>
        <v>489.25958755279015</v>
      </c>
      <c r="AJ63" s="25">
        <f t="shared" si="18"/>
        <v>537.98252588257515</v>
      </c>
      <c r="AK63" s="25">
        <f t="shared" si="18"/>
        <v>590.09120429551831</v>
      </c>
      <c r="AL63" s="25">
        <f t="shared" si="18"/>
        <v>645.79338772442372</v>
      </c>
      <c r="AM63" s="25">
        <f t="shared" si="18"/>
        <v>705.30885094850464</v>
      </c>
      <c r="AN63" s="26"/>
      <c r="AO63" s="26"/>
      <c r="AP63" s="26"/>
    </row>
    <row r="64" spans="2:42" x14ac:dyDescent="0.25">
      <c r="D64" t="s">
        <v>34</v>
      </c>
      <c r="E64" t="s">
        <v>21</v>
      </c>
      <c r="L64" s="18">
        <f>L59</f>
        <v>6257.2973276104394</v>
      </c>
      <c r="M64" s="25">
        <f>M62-M63</f>
        <v>6287.195058317282</v>
      </c>
      <c r="N64" s="25">
        <f t="shared" ref="N64:AM64" si="19">N62-N63</f>
        <v>6308.0410680266959</v>
      </c>
      <c r="O64" s="25">
        <f t="shared" si="19"/>
        <v>6318.980685925264</v>
      </c>
      <c r="P64" s="25">
        <f t="shared" si="19"/>
        <v>6319.1007273780397</v>
      </c>
      <c r="Q64" s="25">
        <f t="shared" si="19"/>
        <v>6307.4259268225433</v>
      </c>
      <c r="R64" s="25">
        <f t="shared" si="19"/>
        <v>6282.9151651841003</v>
      </c>
      <c r="S64" s="25">
        <f t="shared" si="19"/>
        <v>6244.4574803432788</v>
      </c>
      <c r="T64" s="25">
        <f t="shared" si="19"/>
        <v>6190.8678485578994</v>
      </c>
      <c r="U64" s="25">
        <f t="shared" si="19"/>
        <v>6120.8827240798091</v>
      </c>
      <c r="V64" s="25">
        <f t="shared" si="19"/>
        <v>6033.1553235084593</v>
      </c>
      <c r="W64" s="25">
        <f t="shared" si="19"/>
        <v>5926.2506406874254</v>
      </c>
      <c r="X64" s="25">
        <f t="shared" si="19"/>
        <v>5798.6401771742903</v>
      </c>
      <c r="Y64" s="25">
        <f t="shared" si="19"/>
        <v>5648.6963724966572</v>
      </c>
      <c r="Z64" s="25">
        <f t="shared" si="19"/>
        <v>5474.6867175452171</v>
      </c>
      <c r="AA64" s="25">
        <f t="shared" si="19"/>
        <v>5274.7675335463955</v>
      </c>
      <c r="AB64" s="25">
        <f t="shared" si="19"/>
        <v>5046.9773980996242</v>
      </c>
      <c r="AC64" s="25">
        <f t="shared" si="19"/>
        <v>4789.2301987551273</v>
      </c>
      <c r="AD64" s="25">
        <f t="shared" si="19"/>
        <v>4499.307793544479</v>
      </c>
      <c r="AE64" s="25">
        <f t="shared" si="19"/>
        <v>4174.8522567551672</v>
      </c>
      <c r="AF64" s="25">
        <f t="shared" si="19"/>
        <v>3813.3576870589086</v>
      </c>
      <c r="AG64" s="25">
        <f t="shared" si="19"/>
        <v>3412.1615538582728</v>
      </c>
      <c r="AH64" s="25">
        <f t="shared" si="19"/>
        <v>2968.4355564038328</v>
      </c>
      <c r="AI64" s="25">
        <f t="shared" si="19"/>
        <v>2479.1759688510429</v>
      </c>
      <c r="AJ64" s="25">
        <f t="shared" si="19"/>
        <v>1941.1934429684677</v>
      </c>
      <c r="AK64" s="25">
        <f t="shared" si="19"/>
        <v>1351.1022386729494</v>
      </c>
      <c r="AL64" s="25">
        <f t="shared" si="19"/>
        <v>705.30885094852567</v>
      </c>
      <c r="AM64" s="18">
        <f t="shared" si="19"/>
        <v>2.1032064978498966E-11</v>
      </c>
    </row>
    <row r="65" spans="2:42" x14ac:dyDescent="0.25">
      <c r="L65" s="27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7"/>
      <c r="AN65" s="25"/>
      <c r="AO65" s="25"/>
      <c r="AP65" s="25"/>
    </row>
    <row r="66" spans="2:42" x14ac:dyDescent="0.25">
      <c r="C66" t="s">
        <v>35</v>
      </c>
      <c r="L66" s="27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7"/>
      <c r="AN66" s="25"/>
      <c r="AO66" s="25"/>
      <c r="AP66" s="25"/>
    </row>
    <row r="67" spans="2:42" x14ac:dyDescent="0.25">
      <c r="D67" t="s">
        <v>36</v>
      </c>
      <c r="E67" t="s">
        <v>21</v>
      </c>
      <c r="L67" s="27"/>
      <c r="M67" s="25">
        <f>M63</f>
        <v>-29.897730706842992</v>
      </c>
      <c r="N67" s="25">
        <f>N63</f>
        <v>-20.846009709413693</v>
      </c>
      <c r="O67" s="25">
        <f t="shared" ref="O67:AM67" si="20">O63</f>
        <v>-10.939617898568201</v>
      </c>
      <c r="P67" s="25">
        <f t="shared" si="20"/>
        <v>-0.12004145277603584</v>
      </c>
      <c r="Q67" s="25">
        <f t="shared" si="20"/>
        <v>11.67480055549629</v>
      </c>
      <c r="R67" s="25">
        <f t="shared" si="20"/>
        <v>24.51076163844283</v>
      </c>
      <c r="S67" s="25">
        <f t="shared" si="20"/>
        <v>38.457684840821628</v>
      </c>
      <c r="T67" s="25">
        <f t="shared" si="20"/>
        <v>53.589631785379311</v>
      </c>
      <c r="U67" s="25">
        <f t="shared" si="20"/>
        <v>69.985124478090256</v>
      </c>
      <c r="V67" s="25">
        <f t="shared" si="20"/>
        <v>87.727400571350074</v>
      </c>
      <c r="W67" s="25">
        <f t="shared" si="20"/>
        <v>106.90468282103387</v>
      </c>
      <c r="X67" s="25">
        <f t="shared" si="20"/>
        <v>127.61046351313468</v>
      </c>
      <c r="Y67" s="25">
        <f t="shared" si="20"/>
        <v>149.94380467763312</v>
      </c>
      <c r="Z67" s="25">
        <f t="shared" si="20"/>
        <v>174.00965495143998</v>
      </c>
      <c r="AA67" s="25">
        <f t="shared" si="20"/>
        <v>199.91918399882138</v>
      </c>
      <c r="AB67" s="25">
        <f t="shared" si="20"/>
        <v>227.79013544677127</v>
      </c>
      <c r="AC67" s="25">
        <f t="shared" si="20"/>
        <v>257.74719934449678</v>
      </c>
      <c r="AD67" s="25">
        <f t="shared" si="20"/>
        <v>289.92240521064832</v>
      </c>
      <c r="AE67" s="25">
        <f t="shared" si="20"/>
        <v>324.45553678931213</v>
      </c>
      <c r="AF67" s="25">
        <f t="shared" si="20"/>
        <v>361.4945696962584</v>
      </c>
      <c r="AG67" s="25">
        <f t="shared" si="20"/>
        <v>401.19613320063593</v>
      </c>
      <c r="AH67" s="25">
        <f t="shared" si="20"/>
        <v>443.72599745444006</v>
      </c>
      <c r="AI67" s="25">
        <f t="shared" si="20"/>
        <v>489.25958755279015</v>
      </c>
      <c r="AJ67" s="25">
        <f t="shared" si="20"/>
        <v>537.98252588257515</v>
      </c>
      <c r="AK67" s="25">
        <f t="shared" si="20"/>
        <v>590.09120429551831</v>
      </c>
      <c r="AL67" s="25">
        <f t="shared" si="20"/>
        <v>645.79338772442372</v>
      </c>
      <c r="AM67" s="25">
        <f t="shared" si="20"/>
        <v>705.30885094850464</v>
      </c>
      <c r="AN67" s="26"/>
      <c r="AO67" s="26"/>
      <c r="AP67" s="26"/>
    </row>
    <row r="68" spans="2:42" x14ac:dyDescent="0.25">
      <c r="D68" t="s">
        <v>37</v>
      </c>
      <c r="E68" t="s">
        <v>21</v>
      </c>
      <c r="L68" s="27"/>
      <c r="M68" s="21">
        <f t="shared" ref="M68:AM68" si="21">($F$6+$F$8)*M62</f>
        <v>331.63675836335335</v>
      </c>
      <c r="N68" s="21">
        <f t="shared" si="21"/>
        <v>333.221338090816</v>
      </c>
      <c r="O68" s="21">
        <f t="shared" si="21"/>
        <v>334.3261766054149</v>
      </c>
      <c r="P68" s="21">
        <f t="shared" si="21"/>
        <v>334.90597635403901</v>
      </c>
      <c r="Q68" s="21">
        <f t="shared" si="21"/>
        <v>334.91233855103616</v>
      </c>
      <c r="R68" s="21">
        <f t="shared" si="21"/>
        <v>334.29357412159482</v>
      </c>
      <c r="S68" s="21">
        <f t="shared" si="21"/>
        <v>332.99450375475737</v>
      </c>
      <c r="T68" s="21">
        <f t="shared" si="21"/>
        <v>330.95624645819379</v>
      </c>
      <c r="U68" s="21">
        <f t="shared" si="21"/>
        <v>328.11599597356872</v>
      </c>
      <c r="V68" s="21">
        <f t="shared" si="21"/>
        <v>324.40678437622989</v>
      </c>
      <c r="W68" s="21">
        <f t="shared" si="21"/>
        <v>319.75723214594836</v>
      </c>
      <c r="X68" s="21">
        <f t="shared" si="21"/>
        <v>314.09128395643359</v>
      </c>
      <c r="Y68" s="21">
        <f t="shared" si="21"/>
        <v>307.32792939023744</v>
      </c>
      <c r="Z68" s="21">
        <f t="shared" si="21"/>
        <v>299.38090774232285</v>
      </c>
      <c r="AA68" s="21">
        <f t="shared" si="21"/>
        <v>290.15839602989655</v>
      </c>
      <c r="AB68" s="21">
        <f t="shared" si="21"/>
        <v>279.56267927795898</v>
      </c>
      <c r="AC68" s="21">
        <f t="shared" si="21"/>
        <v>267.4898020992801</v>
      </c>
      <c r="AD68" s="21">
        <f t="shared" si="21"/>
        <v>253.82920053402177</v>
      </c>
      <c r="AE68" s="21">
        <f t="shared" si="21"/>
        <v>238.46331305785742</v>
      </c>
      <c r="AF68" s="21">
        <f t="shared" si="21"/>
        <v>221.26716960802389</v>
      </c>
      <c r="AG68" s="21">
        <f t="shared" si="21"/>
        <v>202.10795741412218</v>
      </c>
      <c r="AH68" s="21">
        <f t="shared" si="21"/>
        <v>180.84456235448849</v>
      </c>
      <c r="AI68" s="21">
        <f t="shared" si="21"/>
        <v>157.32708448940315</v>
      </c>
      <c r="AJ68" s="21">
        <f t="shared" si="21"/>
        <v>131.39632634910529</v>
      </c>
      <c r="AK68" s="21">
        <f t="shared" si="21"/>
        <v>102.8832524773288</v>
      </c>
      <c r="AL68" s="21">
        <f t="shared" si="21"/>
        <v>71.608418649666319</v>
      </c>
      <c r="AM68" s="21">
        <f t="shared" si="21"/>
        <v>37.381369100271861</v>
      </c>
      <c r="AN68" s="26"/>
      <c r="AO68" s="26"/>
      <c r="AP68" s="26"/>
    </row>
    <row r="69" spans="2:42" x14ac:dyDescent="0.25">
      <c r="D69" t="s">
        <v>35</v>
      </c>
      <c r="E69" t="s">
        <v>21</v>
      </c>
      <c r="L69" s="27"/>
      <c r="M69" s="25">
        <f>M67+M68</f>
        <v>301.73902765651036</v>
      </c>
      <c r="N69" s="25">
        <f t="shared" ref="N69:AM69" si="22">N67+N68</f>
        <v>312.37532838140231</v>
      </c>
      <c r="O69" s="25">
        <f t="shared" si="22"/>
        <v>323.3865587068467</v>
      </c>
      <c r="P69" s="25">
        <f t="shared" si="22"/>
        <v>334.78593490126298</v>
      </c>
      <c r="Q69" s="25">
        <f t="shared" si="22"/>
        <v>346.58713910653245</v>
      </c>
      <c r="R69" s="25">
        <f t="shared" si="22"/>
        <v>358.80433576003765</v>
      </c>
      <c r="S69" s="25">
        <f t="shared" si="22"/>
        <v>371.452188595579</v>
      </c>
      <c r="T69" s="25">
        <f t="shared" si="22"/>
        <v>384.5458782435731</v>
      </c>
      <c r="U69" s="25">
        <f t="shared" si="22"/>
        <v>398.10112045165897</v>
      </c>
      <c r="V69" s="25">
        <f t="shared" si="22"/>
        <v>412.13418494757997</v>
      </c>
      <c r="W69" s="25">
        <f t="shared" si="22"/>
        <v>426.66191496698224</v>
      </c>
      <c r="X69" s="25">
        <f t="shared" si="22"/>
        <v>441.70174746956826</v>
      </c>
      <c r="Y69" s="25">
        <f t="shared" si="22"/>
        <v>457.27173406787057</v>
      </c>
      <c r="Z69" s="25">
        <f t="shared" si="22"/>
        <v>473.39056269376283</v>
      </c>
      <c r="AA69" s="25">
        <f t="shared" si="22"/>
        <v>490.07758002871793</v>
      </c>
      <c r="AB69" s="25">
        <f t="shared" si="22"/>
        <v>507.35281472473025</v>
      </c>
      <c r="AC69" s="25">
        <f t="shared" si="22"/>
        <v>525.23700144377688</v>
      </c>
      <c r="AD69" s="25">
        <f t="shared" si="22"/>
        <v>543.75160574467009</v>
      </c>
      <c r="AE69" s="25">
        <f t="shared" si="22"/>
        <v>562.91884984716955</v>
      </c>
      <c r="AF69" s="25">
        <f t="shared" si="22"/>
        <v>582.76173930428229</v>
      </c>
      <c r="AG69" s="25">
        <f t="shared" si="22"/>
        <v>603.30409061475814</v>
      </c>
      <c r="AH69" s="25">
        <f t="shared" si="22"/>
        <v>624.57055980892858</v>
      </c>
      <c r="AI69" s="25">
        <f t="shared" si="22"/>
        <v>646.5866720421933</v>
      </c>
      <c r="AJ69" s="25">
        <f t="shared" si="22"/>
        <v>669.37885223168041</v>
      </c>
      <c r="AK69" s="25">
        <f t="shared" si="22"/>
        <v>692.97445677284713</v>
      </c>
      <c r="AL69" s="25">
        <f t="shared" si="22"/>
        <v>717.40180637409003</v>
      </c>
      <c r="AM69" s="25">
        <f t="shared" si="22"/>
        <v>742.6902200487765</v>
      </c>
      <c r="AN69" s="26"/>
      <c r="AO69" s="26"/>
      <c r="AP69" s="26"/>
    </row>
    <row r="70" spans="2:42" x14ac:dyDescent="0.25">
      <c r="L70" s="27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</row>
    <row r="71" spans="2:42" x14ac:dyDescent="0.25">
      <c r="D71" t="s">
        <v>38</v>
      </c>
      <c r="E71" t="s">
        <v>39</v>
      </c>
      <c r="F71" s="3">
        <f>MIN(M71:AM71)</f>
        <v>1.5</v>
      </c>
      <c r="M71" s="3">
        <f t="shared" ref="M71:AM71" si="23">M54/(M69)</f>
        <v>1.5</v>
      </c>
      <c r="N71" s="3">
        <f t="shared" si="23"/>
        <v>1.5</v>
      </c>
      <c r="O71" s="3">
        <f t="shared" si="23"/>
        <v>1.5</v>
      </c>
      <c r="P71" s="3">
        <f t="shared" si="23"/>
        <v>1.5</v>
      </c>
      <c r="Q71" s="3">
        <f t="shared" si="23"/>
        <v>1.5</v>
      </c>
      <c r="R71" s="3">
        <f t="shared" si="23"/>
        <v>1.5</v>
      </c>
      <c r="S71" s="3">
        <f t="shared" si="23"/>
        <v>1.5</v>
      </c>
      <c r="T71" s="3">
        <f t="shared" si="23"/>
        <v>1.5</v>
      </c>
      <c r="U71" s="3">
        <f t="shared" si="23"/>
        <v>1.5</v>
      </c>
      <c r="V71" s="3">
        <f t="shared" si="23"/>
        <v>1.5</v>
      </c>
      <c r="W71" s="3">
        <f t="shared" si="23"/>
        <v>1.5</v>
      </c>
      <c r="X71" s="3">
        <f t="shared" si="23"/>
        <v>1.5</v>
      </c>
      <c r="Y71" s="3">
        <f t="shared" si="23"/>
        <v>1.5</v>
      </c>
      <c r="Z71" s="3">
        <f t="shared" si="23"/>
        <v>1.5</v>
      </c>
      <c r="AA71" s="3">
        <f t="shared" si="23"/>
        <v>1.5</v>
      </c>
      <c r="AB71" s="3">
        <f t="shared" si="23"/>
        <v>1.5</v>
      </c>
      <c r="AC71" s="3">
        <f t="shared" si="23"/>
        <v>1.5</v>
      </c>
      <c r="AD71" s="3">
        <f t="shared" si="23"/>
        <v>1.5</v>
      </c>
      <c r="AE71" s="3">
        <f t="shared" si="23"/>
        <v>1.5</v>
      </c>
      <c r="AF71" s="3">
        <f t="shared" si="23"/>
        <v>1.5</v>
      </c>
      <c r="AG71" s="3">
        <f t="shared" si="23"/>
        <v>1.5</v>
      </c>
      <c r="AH71" s="3">
        <f t="shared" si="23"/>
        <v>1.5</v>
      </c>
      <c r="AI71" s="3">
        <f t="shared" si="23"/>
        <v>1.5</v>
      </c>
      <c r="AJ71" s="3">
        <f t="shared" si="23"/>
        <v>1.5</v>
      </c>
      <c r="AK71" s="3">
        <f t="shared" si="23"/>
        <v>1.5</v>
      </c>
      <c r="AL71" s="3">
        <f t="shared" si="23"/>
        <v>1.5</v>
      </c>
      <c r="AM71" s="3">
        <f t="shared" si="23"/>
        <v>1.5</v>
      </c>
      <c r="AN71" s="3"/>
      <c r="AO71" s="3"/>
      <c r="AP71" s="3"/>
    </row>
    <row r="72" spans="2:42" x14ac:dyDescent="0.25">
      <c r="F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</row>
    <row r="73" spans="2:42" x14ac:dyDescent="0.25">
      <c r="B73" s="11" t="s">
        <v>40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</row>
    <row r="74" spans="2:42" x14ac:dyDescent="0.25">
      <c r="F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</row>
    <row r="75" spans="2:42" x14ac:dyDescent="0.25">
      <c r="C75" t="s">
        <v>41</v>
      </c>
    </row>
    <row r="76" spans="2:42" x14ac:dyDescent="0.25">
      <c r="D76" t="s">
        <v>32</v>
      </c>
      <c r="E76" t="s">
        <v>21</v>
      </c>
      <c r="G76" s="25"/>
      <c r="H76" s="25">
        <f>G79</f>
        <v>0</v>
      </c>
      <c r="I76" s="25">
        <f>H79</f>
        <v>1920</v>
      </c>
      <c r="J76" s="25">
        <f t="shared" ref="J76:L76" si="24">I79</f>
        <v>4608</v>
      </c>
      <c r="K76" s="25">
        <f t="shared" si="24"/>
        <v>6257.2973276104394</v>
      </c>
      <c r="L76" s="25">
        <f t="shared" si="24"/>
        <v>6257.2973276104394</v>
      </c>
    </row>
    <row r="77" spans="2:42" x14ac:dyDescent="0.25">
      <c r="D77" t="s">
        <v>42</v>
      </c>
      <c r="E77" t="s">
        <v>21</v>
      </c>
      <c r="F77" s="25"/>
      <c r="G77" s="25"/>
      <c r="H77" s="25">
        <f>IF(H37+H76+H78 &lt; $L$64, H37, $L$64-H78-H76)</f>
        <v>1920</v>
      </c>
      <c r="I77" s="25">
        <f>IF(I37+I76+I78 &lt; $L$64, I37, $L$64-I78-I76)</f>
        <v>2620.8000000000002</v>
      </c>
      <c r="J77" s="25">
        <f>IF(J37+J76+J78 &lt; $L$64, J37, $L$64-J78-J76)</f>
        <v>1488.0173276104397</v>
      </c>
      <c r="K77" s="25">
        <f>IF(K37+K76+K78 &lt; $L$64, K37, $L$64-K78-K76)</f>
        <v>-219.00540646636546</v>
      </c>
      <c r="L77" s="25">
        <f>IF(L37+L76+L78 &lt; $L$64, L37, $L$64-L78-L76)</f>
        <v>-219.00540646636546</v>
      </c>
    </row>
    <row r="78" spans="2:42" x14ac:dyDescent="0.25">
      <c r="D78" t="s">
        <v>43</v>
      </c>
      <c r="E78" t="s">
        <v>21</v>
      </c>
      <c r="G78" s="26"/>
      <c r="H78" s="21">
        <f>('[2]Government Grant'!$F$6+'[2]Government Grant'!$F$7)*H76</f>
        <v>0</v>
      </c>
      <c r="I78" s="21">
        <f>($F$6+$H$7)*I76</f>
        <v>67.2</v>
      </c>
      <c r="J78" s="21">
        <f t="shared" ref="J78:L78" si="25">($F$6+$H$7)*J76</f>
        <v>161.28000000000003</v>
      </c>
      <c r="K78" s="21">
        <f t="shared" si="25"/>
        <v>219.0054064663654</v>
      </c>
      <c r="L78" s="21">
        <f t="shared" si="25"/>
        <v>219.0054064663654</v>
      </c>
    </row>
    <row r="79" spans="2:42" x14ac:dyDescent="0.25">
      <c r="D79" t="s">
        <v>34</v>
      </c>
      <c r="E79" t="s">
        <v>21</v>
      </c>
      <c r="G79" s="26">
        <v>0</v>
      </c>
      <c r="H79" s="25">
        <f t="shared" ref="H79:L79" si="26">H76+H77+H78</f>
        <v>1920</v>
      </c>
      <c r="I79" s="25">
        <f t="shared" si="26"/>
        <v>4608</v>
      </c>
      <c r="J79" s="25">
        <f t="shared" si="26"/>
        <v>6257.2973276104394</v>
      </c>
      <c r="K79" s="25">
        <f t="shared" si="26"/>
        <v>6257.2973276104394</v>
      </c>
      <c r="L79" s="25">
        <f t="shared" si="26"/>
        <v>6257.2973276104394</v>
      </c>
    </row>
    <row r="81" spans="2:42" x14ac:dyDescent="0.25">
      <c r="C81" t="s">
        <v>44</v>
      </c>
    </row>
    <row r="82" spans="2:42" x14ac:dyDescent="0.25">
      <c r="D82" t="s">
        <v>32</v>
      </c>
      <c r="E82" t="s">
        <v>21</v>
      </c>
      <c r="H82" s="8">
        <f>G84</f>
        <v>0</v>
      </c>
      <c r="I82" s="8">
        <f t="shared" ref="I82:L82" si="27">H84</f>
        <v>0</v>
      </c>
      <c r="J82" s="8">
        <f t="shared" si="27"/>
        <v>0</v>
      </c>
      <c r="K82" s="8">
        <f t="shared" si="27"/>
        <v>1886.5746723895609</v>
      </c>
      <c r="L82" s="8">
        <f t="shared" si="27"/>
        <v>4940.2373588559267</v>
      </c>
    </row>
    <row r="83" spans="2:42" x14ac:dyDescent="0.25">
      <c r="D83" t="s">
        <v>45</v>
      </c>
      <c r="E83" t="s">
        <v>21</v>
      </c>
      <c r="F83" s="26"/>
      <c r="H83" s="21">
        <f>H37-H77</f>
        <v>0</v>
      </c>
      <c r="I83" s="21">
        <f>I37-I77</f>
        <v>0</v>
      </c>
      <c r="J83" s="21">
        <f>J37-J77</f>
        <v>1886.5746723895609</v>
      </c>
      <c r="K83" s="21">
        <f>K37-K77</f>
        <v>3053.6626864663658</v>
      </c>
      <c r="L83" s="21">
        <f>L37-L77</f>
        <v>2465.1338416663657</v>
      </c>
    </row>
    <row r="84" spans="2:42" x14ac:dyDescent="0.25">
      <c r="D84" t="s">
        <v>34</v>
      </c>
      <c r="E84" t="s">
        <v>21</v>
      </c>
      <c r="F84" s="26"/>
      <c r="G84" s="26">
        <v>0</v>
      </c>
      <c r="H84" s="25">
        <f>H82+H83</f>
        <v>0</v>
      </c>
      <c r="I84" s="25">
        <f t="shared" ref="I84:L84" si="28">I82+I83</f>
        <v>0</v>
      </c>
      <c r="J84" s="25">
        <f t="shared" si="28"/>
        <v>1886.5746723895609</v>
      </c>
      <c r="K84" s="25">
        <f t="shared" si="28"/>
        <v>4940.2373588559267</v>
      </c>
      <c r="L84" s="25">
        <f t="shared" si="28"/>
        <v>7405.3712005222924</v>
      </c>
    </row>
    <row r="86" spans="2:42" x14ac:dyDescent="0.25">
      <c r="C86" t="s">
        <v>46</v>
      </c>
    </row>
    <row r="87" spans="2:42" x14ac:dyDescent="0.25">
      <c r="D87" t="s">
        <v>47</v>
      </c>
      <c r="E87" t="s">
        <v>21</v>
      </c>
      <c r="H87" s="8">
        <f t="shared" ref="H87:K87" si="29">H79</f>
        <v>1920</v>
      </c>
      <c r="I87" s="8">
        <f t="shared" si="29"/>
        <v>4608</v>
      </c>
      <c r="J87" s="8">
        <f t="shared" si="29"/>
        <v>6257.2973276104394</v>
      </c>
      <c r="K87" s="8">
        <f t="shared" si="29"/>
        <v>6257.2973276104394</v>
      </c>
      <c r="L87" s="8">
        <f>L79</f>
        <v>6257.2973276104394</v>
      </c>
    </row>
    <row r="88" spans="2:42" x14ac:dyDescent="0.25">
      <c r="D88" t="s">
        <v>48</v>
      </c>
      <c r="E88" t="s">
        <v>21</v>
      </c>
      <c r="H88" s="28">
        <f t="shared" ref="H88:K88" si="30">H84</f>
        <v>0</v>
      </c>
      <c r="I88" s="28">
        <f t="shared" si="30"/>
        <v>0</v>
      </c>
      <c r="J88" s="28">
        <f t="shared" si="30"/>
        <v>1886.5746723895609</v>
      </c>
      <c r="K88" s="28">
        <f t="shared" si="30"/>
        <v>4940.2373588559267</v>
      </c>
      <c r="L88" s="28">
        <f>L84</f>
        <v>7405.3712005222924</v>
      </c>
    </row>
    <row r="89" spans="2:42" x14ac:dyDescent="0.25">
      <c r="D89" t="s">
        <v>49</v>
      </c>
      <c r="E89" t="s">
        <v>21</v>
      </c>
      <c r="H89" s="8">
        <f t="shared" ref="H89:K89" si="31">SUM(H87:H88)</f>
        <v>1920</v>
      </c>
      <c r="I89" s="8">
        <f t="shared" si="31"/>
        <v>4608</v>
      </c>
      <c r="J89" s="8">
        <f t="shared" si="31"/>
        <v>8143.8720000000003</v>
      </c>
      <c r="K89" s="8">
        <f t="shared" si="31"/>
        <v>11197.534686466366</v>
      </c>
      <c r="L89" s="8">
        <f>SUM(L87:L88)</f>
        <v>13662.668528132732</v>
      </c>
    </row>
    <row r="91" spans="2:42" x14ac:dyDescent="0.25">
      <c r="B91" s="11" t="s">
        <v>50</v>
      </c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</row>
    <row r="92" spans="2:42" x14ac:dyDescent="0.25">
      <c r="E92" s="29"/>
      <c r="F92" s="25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</row>
    <row r="93" spans="2:42" x14ac:dyDescent="0.25">
      <c r="C93" t="s">
        <v>51</v>
      </c>
    </row>
    <row r="94" spans="2:42" x14ac:dyDescent="0.25">
      <c r="D94" t="s">
        <v>52</v>
      </c>
      <c r="E94" t="s">
        <v>21</v>
      </c>
      <c r="F94" s="25"/>
      <c r="H94" s="25"/>
      <c r="I94" s="25"/>
      <c r="J94" s="25"/>
      <c r="K94" s="25"/>
      <c r="L94" s="25"/>
      <c r="M94" s="25">
        <f>M52</f>
        <v>565.76067685595683</v>
      </c>
      <c r="N94" s="25">
        <f t="shared" ref="N94:AP95" si="32">N52</f>
        <v>585.70374071512924</v>
      </c>
      <c r="O94" s="25">
        <f t="shared" si="32"/>
        <v>606.34979757533756</v>
      </c>
      <c r="P94" s="25">
        <f t="shared" si="32"/>
        <v>627.72362793986804</v>
      </c>
      <c r="Q94" s="25">
        <f t="shared" si="32"/>
        <v>649.85088582474827</v>
      </c>
      <c r="R94" s="25">
        <f t="shared" si="32"/>
        <v>672.75812955007052</v>
      </c>
      <c r="S94" s="25">
        <f t="shared" si="32"/>
        <v>696.47285361671061</v>
      </c>
      <c r="T94" s="25">
        <f t="shared" si="32"/>
        <v>721.02352170669951</v>
      </c>
      <c r="U94" s="25">
        <f t="shared" si="32"/>
        <v>746.43960084686057</v>
      </c>
      <c r="V94" s="25">
        <f t="shared" si="32"/>
        <v>772.7515967767124</v>
      </c>
      <c r="W94" s="25">
        <f t="shared" si="32"/>
        <v>799.99109056309157</v>
      </c>
      <c r="X94" s="25">
        <f t="shared" si="32"/>
        <v>828.19077650544034</v>
      </c>
      <c r="Y94" s="25">
        <f t="shared" si="32"/>
        <v>857.38450137725727</v>
      </c>
      <c r="Z94" s="25">
        <f t="shared" si="32"/>
        <v>887.60730505080528</v>
      </c>
      <c r="AA94" s="25">
        <f t="shared" si="32"/>
        <v>918.89546255384607</v>
      </c>
      <c r="AB94" s="25">
        <f t="shared" si="32"/>
        <v>951.28652760886916</v>
      </c>
      <c r="AC94" s="25">
        <f t="shared" si="32"/>
        <v>984.81937770708169</v>
      </c>
      <c r="AD94" s="25">
        <f t="shared" si="32"/>
        <v>1019.5342607712563</v>
      </c>
      <c r="AE94" s="25">
        <f t="shared" si="32"/>
        <v>1055.4728434634428</v>
      </c>
      <c r="AF94" s="25">
        <f t="shared" si="32"/>
        <v>1092.6782611955293</v>
      </c>
      <c r="AG94" s="25">
        <f t="shared" si="32"/>
        <v>1131.1951699026715</v>
      </c>
      <c r="AH94" s="25">
        <f t="shared" si="32"/>
        <v>1171.0697996417409</v>
      </c>
      <c r="AI94" s="25">
        <f t="shared" si="32"/>
        <v>1212.3500100791123</v>
      </c>
      <c r="AJ94" s="25">
        <f t="shared" si="32"/>
        <v>1255.0853479344007</v>
      </c>
      <c r="AK94" s="25">
        <f t="shared" si="32"/>
        <v>1299.3271064490882</v>
      </c>
      <c r="AL94" s="25">
        <f t="shared" si="32"/>
        <v>1345.1283869514186</v>
      </c>
      <c r="AM94" s="25">
        <f t="shared" si="32"/>
        <v>1392.5441625914557</v>
      </c>
      <c r="AN94" s="25">
        <f t="shared" si="32"/>
        <v>1441.6313443228046</v>
      </c>
      <c r="AO94" s="25">
        <f t="shared" si="32"/>
        <v>1492.4488492101832</v>
      </c>
      <c r="AP94" s="25">
        <f t="shared" si="32"/>
        <v>1545.0576711448423</v>
      </c>
    </row>
    <row r="95" spans="2:42" x14ac:dyDescent="0.25">
      <c r="D95" t="s">
        <v>53</v>
      </c>
      <c r="E95" t="s">
        <v>21</v>
      </c>
      <c r="F95" s="26"/>
      <c r="H95" s="26"/>
      <c r="I95" s="26"/>
      <c r="J95" s="26"/>
      <c r="K95" s="26"/>
      <c r="L95" s="26"/>
      <c r="M95" s="26">
        <f>M53</f>
        <v>113.15213537119133</v>
      </c>
      <c r="N95" s="26">
        <f t="shared" si="32"/>
        <v>117.14074814302582</v>
      </c>
      <c r="O95" s="26">
        <f t="shared" si="32"/>
        <v>121.26995951506748</v>
      </c>
      <c r="P95" s="26">
        <f t="shared" si="32"/>
        <v>125.54472558797357</v>
      </c>
      <c r="Q95" s="26">
        <f t="shared" si="32"/>
        <v>129.97017716494963</v>
      </c>
      <c r="R95" s="26">
        <f t="shared" si="32"/>
        <v>134.55162591001408</v>
      </c>
      <c r="S95" s="26">
        <f t="shared" si="32"/>
        <v>139.2945707233421</v>
      </c>
      <c r="T95" s="26">
        <f t="shared" si="32"/>
        <v>144.20470434133986</v>
      </c>
      <c r="U95" s="26">
        <f t="shared" si="32"/>
        <v>149.28792016937209</v>
      </c>
      <c r="V95" s="26">
        <f t="shared" si="32"/>
        <v>154.55031935534245</v>
      </c>
      <c r="W95" s="26">
        <f t="shared" si="32"/>
        <v>159.99821811261828</v>
      </c>
      <c r="X95" s="26">
        <f t="shared" si="32"/>
        <v>165.63815530108803</v>
      </c>
      <c r="Y95" s="26">
        <f t="shared" si="32"/>
        <v>171.47690027545141</v>
      </c>
      <c r="Z95" s="26">
        <f t="shared" si="32"/>
        <v>177.521461010161</v>
      </c>
      <c r="AA95" s="26">
        <f t="shared" si="32"/>
        <v>183.77909251076917</v>
      </c>
      <c r="AB95" s="26">
        <f t="shared" si="32"/>
        <v>190.25730552177379</v>
      </c>
      <c r="AC95" s="26">
        <f t="shared" si="32"/>
        <v>196.96387554141629</v>
      </c>
      <c r="AD95" s="26">
        <f t="shared" si="32"/>
        <v>203.90685215425123</v>
      </c>
      <c r="AE95" s="26">
        <f t="shared" si="32"/>
        <v>211.09456869268851</v>
      </c>
      <c r="AF95" s="26">
        <f t="shared" si="32"/>
        <v>218.53565223910581</v>
      </c>
      <c r="AG95" s="26">
        <f t="shared" si="32"/>
        <v>226.23903398053426</v>
      </c>
      <c r="AH95" s="26">
        <f t="shared" si="32"/>
        <v>234.21395992834815</v>
      </c>
      <c r="AI95" s="26">
        <f t="shared" si="32"/>
        <v>242.47000201582242</v>
      </c>
      <c r="AJ95" s="26">
        <f t="shared" si="32"/>
        <v>251.0170695868801</v>
      </c>
      <c r="AK95" s="26">
        <f t="shared" si="32"/>
        <v>259.86542128981756</v>
      </c>
      <c r="AL95" s="26">
        <f t="shared" si="32"/>
        <v>269.02567739028365</v>
      </c>
      <c r="AM95" s="26">
        <f t="shared" si="32"/>
        <v>278.50883251829106</v>
      </c>
      <c r="AN95" s="26">
        <f t="shared" si="32"/>
        <v>288.32626886456086</v>
      </c>
      <c r="AO95" s="26">
        <f t="shared" si="32"/>
        <v>298.48976984203659</v>
      </c>
      <c r="AP95" s="26">
        <f t="shared" si="32"/>
        <v>309.0115342289684</v>
      </c>
    </row>
    <row r="96" spans="2:42" x14ac:dyDescent="0.25">
      <c r="D96" t="s">
        <v>54</v>
      </c>
      <c r="E96" t="s">
        <v>21</v>
      </c>
      <c r="H96" s="28">
        <f>H37</f>
        <v>1920</v>
      </c>
      <c r="I96" s="28">
        <f>I37</f>
        <v>2620.8000000000002</v>
      </c>
      <c r="J96" s="28">
        <f>J37</f>
        <v>3374.5920000000006</v>
      </c>
      <c r="K96" s="28">
        <f>K37</f>
        <v>2834.6572800000004</v>
      </c>
      <c r="L96" s="28">
        <f>L37</f>
        <v>2246.1284352000002</v>
      </c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</row>
    <row r="97" spans="3:42" x14ac:dyDescent="0.25">
      <c r="D97" t="s">
        <v>55</v>
      </c>
      <c r="E97" t="s">
        <v>21</v>
      </c>
      <c r="H97" s="8">
        <f t="shared" ref="H97:L97" si="33">H94-H95-H96</f>
        <v>-1920</v>
      </c>
      <c r="I97" s="8">
        <f t="shared" si="33"/>
        <v>-2620.8000000000002</v>
      </c>
      <c r="J97" s="8">
        <f t="shared" si="33"/>
        <v>-3374.5920000000006</v>
      </c>
      <c r="K97" s="8">
        <f t="shared" si="33"/>
        <v>-2834.6572800000004</v>
      </c>
      <c r="L97" s="8">
        <f t="shared" si="33"/>
        <v>-2246.1284352000002</v>
      </c>
      <c r="M97" s="8">
        <f>M94-M95-M96</f>
        <v>452.60854148476551</v>
      </c>
      <c r="N97" s="8">
        <f t="shared" ref="N97:AP97" si="34">N94-N95-N96</f>
        <v>468.56299257210344</v>
      </c>
      <c r="O97" s="8">
        <f t="shared" si="34"/>
        <v>485.07983806027005</v>
      </c>
      <c r="P97" s="8">
        <f t="shared" si="34"/>
        <v>502.17890235189446</v>
      </c>
      <c r="Q97" s="8">
        <f t="shared" si="34"/>
        <v>519.88070865979864</v>
      </c>
      <c r="R97" s="8">
        <f t="shared" si="34"/>
        <v>538.20650364005644</v>
      </c>
      <c r="S97" s="8">
        <f t="shared" si="34"/>
        <v>557.17828289336853</v>
      </c>
      <c r="T97" s="8">
        <f t="shared" si="34"/>
        <v>576.81881736535968</v>
      </c>
      <c r="U97" s="8">
        <f t="shared" si="34"/>
        <v>597.15168067748846</v>
      </c>
      <c r="V97" s="8">
        <f t="shared" si="34"/>
        <v>618.20127742136992</v>
      </c>
      <c r="W97" s="8">
        <f t="shared" si="34"/>
        <v>639.99287245047333</v>
      </c>
      <c r="X97" s="8">
        <f t="shared" si="34"/>
        <v>662.55262120435236</v>
      </c>
      <c r="Y97" s="8">
        <f t="shared" si="34"/>
        <v>685.90760110180588</v>
      </c>
      <c r="Z97" s="8">
        <f t="shared" si="34"/>
        <v>710.08584404064425</v>
      </c>
      <c r="AA97" s="8">
        <f t="shared" si="34"/>
        <v>735.11637004307693</v>
      </c>
      <c r="AB97" s="8">
        <f t="shared" si="34"/>
        <v>761.02922208709538</v>
      </c>
      <c r="AC97" s="8">
        <f t="shared" si="34"/>
        <v>787.85550216566537</v>
      </c>
      <c r="AD97" s="8">
        <f t="shared" si="34"/>
        <v>815.62740861700513</v>
      </c>
      <c r="AE97" s="8">
        <f t="shared" si="34"/>
        <v>844.37827477075427</v>
      </c>
      <c r="AF97" s="8">
        <f t="shared" si="34"/>
        <v>874.14260895642349</v>
      </c>
      <c r="AG97" s="8">
        <f t="shared" si="34"/>
        <v>904.95613592213726</v>
      </c>
      <c r="AH97" s="8">
        <f t="shared" si="34"/>
        <v>936.85583971339281</v>
      </c>
      <c r="AI97" s="8">
        <f t="shared" si="34"/>
        <v>969.88000806328989</v>
      </c>
      <c r="AJ97" s="8">
        <f t="shared" si="34"/>
        <v>1004.0682783475206</v>
      </c>
      <c r="AK97" s="8">
        <f t="shared" si="34"/>
        <v>1039.4616851592707</v>
      </c>
      <c r="AL97" s="8">
        <f t="shared" si="34"/>
        <v>1076.102709561135</v>
      </c>
      <c r="AM97" s="8">
        <f t="shared" si="34"/>
        <v>1114.0353300731647</v>
      </c>
      <c r="AN97" s="8">
        <f t="shared" si="34"/>
        <v>1153.3050754582437</v>
      </c>
      <c r="AO97" s="8">
        <f t="shared" si="34"/>
        <v>1193.9590793681466</v>
      </c>
      <c r="AP97" s="8">
        <f t="shared" si="34"/>
        <v>1236.0461369158738</v>
      </c>
    </row>
    <row r="98" spans="3:42" x14ac:dyDescent="0.25">
      <c r="E98" s="6"/>
      <c r="F98" s="25"/>
      <c r="H98" s="25"/>
      <c r="I98" s="25"/>
      <c r="J98" s="25"/>
      <c r="K98" s="25"/>
      <c r="L98" s="8"/>
    </row>
    <row r="99" spans="3:42" x14ac:dyDescent="0.25">
      <c r="C99" t="s">
        <v>56</v>
      </c>
      <c r="F99" s="25"/>
      <c r="H99" s="25"/>
      <c r="I99" s="25"/>
      <c r="J99" s="25"/>
      <c r="K99" s="25"/>
      <c r="L99" s="8"/>
    </row>
    <row r="100" spans="3:42" x14ac:dyDescent="0.25">
      <c r="D100" t="s">
        <v>57</v>
      </c>
      <c r="E100" t="s">
        <v>21</v>
      </c>
      <c r="F100" s="25"/>
      <c r="H100" s="25">
        <f>H77</f>
        <v>1920</v>
      </c>
      <c r="I100" s="25">
        <f>I77</f>
        <v>2620.8000000000002</v>
      </c>
      <c r="J100" s="25">
        <f>J77</f>
        <v>1488.0173276104397</v>
      </c>
      <c r="K100" s="25">
        <f>K77</f>
        <v>-219.00540646636546</v>
      </c>
      <c r="L100" s="25">
        <f>L77</f>
        <v>-219.00540646636546</v>
      </c>
    </row>
    <row r="101" spans="3:42" x14ac:dyDescent="0.25">
      <c r="D101" t="s">
        <v>33</v>
      </c>
      <c r="E101" t="s">
        <v>21</v>
      </c>
      <c r="F101" s="25"/>
      <c r="H101" s="25"/>
      <c r="I101" s="25"/>
      <c r="J101" s="25"/>
      <c r="K101" s="25"/>
      <c r="L101" s="25"/>
      <c r="M101" s="8">
        <f t="shared" ref="M101:AM101" si="35">M63</f>
        <v>-29.897730706842992</v>
      </c>
      <c r="N101" s="8">
        <f t="shared" si="35"/>
        <v>-20.846009709413693</v>
      </c>
      <c r="O101" s="8">
        <f t="shared" si="35"/>
        <v>-10.939617898568201</v>
      </c>
      <c r="P101" s="8">
        <f t="shared" si="35"/>
        <v>-0.12004145277603584</v>
      </c>
      <c r="Q101" s="8">
        <f t="shared" si="35"/>
        <v>11.67480055549629</v>
      </c>
      <c r="R101" s="8">
        <f t="shared" si="35"/>
        <v>24.51076163844283</v>
      </c>
      <c r="S101" s="8">
        <f t="shared" si="35"/>
        <v>38.457684840821628</v>
      </c>
      <c r="T101" s="8">
        <f t="shared" si="35"/>
        <v>53.589631785379311</v>
      </c>
      <c r="U101" s="8">
        <f t="shared" si="35"/>
        <v>69.985124478090256</v>
      </c>
      <c r="V101" s="8">
        <f t="shared" si="35"/>
        <v>87.727400571350074</v>
      </c>
      <c r="W101" s="8">
        <f t="shared" si="35"/>
        <v>106.90468282103387</v>
      </c>
      <c r="X101" s="8">
        <f t="shared" si="35"/>
        <v>127.61046351313468</v>
      </c>
      <c r="Y101" s="8">
        <f t="shared" si="35"/>
        <v>149.94380467763312</v>
      </c>
      <c r="Z101" s="8">
        <f t="shared" si="35"/>
        <v>174.00965495143998</v>
      </c>
      <c r="AA101" s="8">
        <f t="shared" si="35"/>
        <v>199.91918399882138</v>
      </c>
      <c r="AB101" s="8">
        <f t="shared" si="35"/>
        <v>227.79013544677127</v>
      </c>
      <c r="AC101" s="8">
        <f t="shared" si="35"/>
        <v>257.74719934449678</v>
      </c>
      <c r="AD101" s="8">
        <f t="shared" si="35"/>
        <v>289.92240521064832</v>
      </c>
      <c r="AE101" s="8">
        <f t="shared" si="35"/>
        <v>324.45553678931213</v>
      </c>
      <c r="AF101" s="8">
        <f t="shared" si="35"/>
        <v>361.4945696962584</v>
      </c>
      <c r="AG101" s="8">
        <f t="shared" si="35"/>
        <v>401.19613320063593</v>
      </c>
      <c r="AH101" s="8">
        <f t="shared" si="35"/>
        <v>443.72599745444006</v>
      </c>
      <c r="AI101" s="8">
        <f t="shared" si="35"/>
        <v>489.25958755279015</v>
      </c>
      <c r="AJ101" s="8">
        <f t="shared" si="35"/>
        <v>537.98252588257515</v>
      </c>
      <c r="AK101" s="8">
        <f t="shared" si="35"/>
        <v>590.09120429551831</v>
      </c>
      <c r="AL101" s="8">
        <f t="shared" si="35"/>
        <v>645.79338772442372</v>
      </c>
      <c r="AM101" s="8">
        <f t="shared" si="35"/>
        <v>705.30885094850464</v>
      </c>
      <c r="AN101" s="8"/>
      <c r="AO101" s="8"/>
      <c r="AP101" s="8"/>
    </row>
    <row r="102" spans="3:42" x14ac:dyDescent="0.25">
      <c r="D102" t="s">
        <v>58</v>
      </c>
      <c r="E102" t="s">
        <v>21</v>
      </c>
      <c r="F102" s="26"/>
      <c r="H102" s="21"/>
      <c r="I102" s="21"/>
      <c r="J102" s="21"/>
      <c r="K102" s="21"/>
      <c r="L102" s="21"/>
      <c r="M102" s="28">
        <f>M68</f>
        <v>331.63675836335335</v>
      </c>
      <c r="N102" s="28">
        <f t="shared" ref="N102:AM102" si="36">N68</f>
        <v>333.221338090816</v>
      </c>
      <c r="O102" s="28">
        <f t="shared" si="36"/>
        <v>334.3261766054149</v>
      </c>
      <c r="P102" s="28">
        <f t="shared" si="36"/>
        <v>334.90597635403901</v>
      </c>
      <c r="Q102" s="28">
        <f t="shared" si="36"/>
        <v>334.91233855103616</v>
      </c>
      <c r="R102" s="28">
        <f t="shared" si="36"/>
        <v>334.29357412159482</v>
      </c>
      <c r="S102" s="28">
        <f t="shared" si="36"/>
        <v>332.99450375475737</v>
      </c>
      <c r="T102" s="28">
        <f t="shared" si="36"/>
        <v>330.95624645819379</v>
      </c>
      <c r="U102" s="28">
        <f t="shared" si="36"/>
        <v>328.11599597356872</v>
      </c>
      <c r="V102" s="28">
        <f t="shared" si="36"/>
        <v>324.40678437622989</v>
      </c>
      <c r="W102" s="28">
        <f t="shared" si="36"/>
        <v>319.75723214594836</v>
      </c>
      <c r="X102" s="28">
        <f t="shared" si="36"/>
        <v>314.09128395643359</v>
      </c>
      <c r="Y102" s="28">
        <f t="shared" si="36"/>
        <v>307.32792939023744</v>
      </c>
      <c r="Z102" s="28">
        <f t="shared" si="36"/>
        <v>299.38090774232285</v>
      </c>
      <c r="AA102" s="28">
        <f t="shared" si="36"/>
        <v>290.15839602989655</v>
      </c>
      <c r="AB102" s="28">
        <f t="shared" si="36"/>
        <v>279.56267927795898</v>
      </c>
      <c r="AC102" s="28">
        <f t="shared" si="36"/>
        <v>267.4898020992801</v>
      </c>
      <c r="AD102" s="28">
        <f t="shared" si="36"/>
        <v>253.82920053402177</v>
      </c>
      <c r="AE102" s="28">
        <f t="shared" si="36"/>
        <v>238.46331305785742</v>
      </c>
      <c r="AF102" s="28">
        <f t="shared" si="36"/>
        <v>221.26716960802389</v>
      </c>
      <c r="AG102" s="28">
        <f t="shared" si="36"/>
        <v>202.10795741412218</v>
      </c>
      <c r="AH102" s="28">
        <f t="shared" si="36"/>
        <v>180.84456235448849</v>
      </c>
      <c r="AI102" s="28">
        <f t="shared" si="36"/>
        <v>157.32708448940315</v>
      </c>
      <c r="AJ102" s="28">
        <f t="shared" si="36"/>
        <v>131.39632634910529</v>
      </c>
      <c r="AK102" s="28">
        <f t="shared" si="36"/>
        <v>102.8832524773288</v>
      </c>
      <c r="AL102" s="28">
        <f t="shared" si="36"/>
        <v>71.608418649666319</v>
      </c>
      <c r="AM102" s="28">
        <f t="shared" si="36"/>
        <v>37.381369100271861</v>
      </c>
      <c r="AN102" s="8"/>
      <c r="AO102" s="8"/>
      <c r="AP102" s="8"/>
    </row>
    <row r="103" spans="3:42" x14ac:dyDescent="0.25">
      <c r="D103" t="s">
        <v>59</v>
      </c>
      <c r="E103" t="s">
        <v>21</v>
      </c>
      <c r="F103" s="26"/>
      <c r="H103" s="25">
        <f t="shared" ref="H103:L103" si="37">H100-H101-H102</f>
        <v>1920</v>
      </c>
      <c r="I103" s="25">
        <f t="shared" si="37"/>
        <v>2620.8000000000002</v>
      </c>
      <c r="J103" s="25">
        <f t="shared" si="37"/>
        <v>1488.0173276104397</v>
      </c>
      <c r="K103" s="25">
        <f t="shared" si="37"/>
        <v>-219.00540646636546</v>
      </c>
      <c r="L103" s="25">
        <f t="shared" si="37"/>
        <v>-219.00540646636546</v>
      </c>
      <c r="M103" s="25">
        <f>M100-M101-M102</f>
        <v>-301.73902765651036</v>
      </c>
      <c r="N103" s="25">
        <f t="shared" ref="N103:AM103" si="38">N100-N101-N102</f>
        <v>-312.37532838140231</v>
      </c>
      <c r="O103" s="25">
        <f t="shared" si="38"/>
        <v>-323.3865587068467</v>
      </c>
      <c r="P103" s="25">
        <f t="shared" si="38"/>
        <v>-334.78593490126298</v>
      </c>
      <c r="Q103" s="25">
        <f t="shared" si="38"/>
        <v>-346.58713910653245</v>
      </c>
      <c r="R103" s="25">
        <f t="shared" si="38"/>
        <v>-358.80433576003765</v>
      </c>
      <c r="S103" s="25">
        <f t="shared" si="38"/>
        <v>-371.452188595579</v>
      </c>
      <c r="T103" s="25">
        <f t="shared" si="38"/>
        <v>-384.5458782435731</v>
      </c>
      <c r="U103" s="25">
        <f t="shared" si="38"/>
        <v>-398.10112045165897</v>
      </c>
      <c r="V103" s="25">
        <f t="shared" si="38"/>
        <v>-412.13418494757997</v>
      </c>
      <c r="W103" s="25">
        <f t="shared" si="38"/>
        <v>-426.66191496698224</v>
      </c>
      <c r="X103" s="25">
        <f t="shared" si="38"/>
        <v>-441.70174746956826</v>
      </c>
      <c r="Y103" s="25">
        <f t="shared" si="38"/>
        <v>-457.27173406787057</v>
      </c>
      <c r="Z103" s="25">
        <f t="shared" si="38"/>
        <v>-473.39056269376283</v>
      </c>
      <c r="AA103" s="25">
        <f t="shared" si="38"/>
        <v>-490.07758002871793</v>
      </c>
      <c r="AB103" s="25">
        <f t="shared" si="38"/>
        <v>-507.35281472473025</v>
      </c>
      <c r="AC103" s="25">
        <f t="shared" si="38"/>
        <v>-525.23700144377688</v>
      </c>
      <c r="AD103" s="25">
        <f t="shared" si="38"/>
        <v>-543.75160574467009</v>
      </c>
      <c r="AE103" s="25">
        <f t="shared" si="38"/>
        <v>-562.91884984716955</v>
      </c>
      <c r="AF103" s="25">
        <f t="shared" si="38"/>
        <v>-582.76173930428229</v>
      </c>
      <c r="AG103" s="25">
        <f t="shared" si="38"/>
        <v>-603.30409061475814</v>
      </c>
      <c r="AH103" s="25">
        <f t="shared" si="38"/>
        <v>-624.57055980892858</v>
      </c>
      <c r="AI103" s="25">
        <f t="shared" si="38"/>
        <v>-646.5866720421933</v>
      </c>
      <c r="AJ103" s="25">
        <f t="shared" si="38"/>
        <v>-669.37885223168041</v>
      </c>
      <c r="AK103" s="25">
        <f t="shared" si="38"/>
        <v>-692.97445677284713</v>
      </c>
      <c r="AL103" s="25">
        <f t="shared" si="38"/>
        <v>-717.40180637409003</v>
      </c>
      <c r="AM103" s="25">
        <f t="shared" si="38"/>
        <v>-742.6902200487765</v>
      </c>
      <c r="AN103" s="26"/>
      <c r="AO103" s="26"/>
      <c r="AP103" s="26"/>
    </row>
    <row r="104" spans="3:42" x14ac:dyDescent="0.25">
      <c r="F104" s="26"/>
      <c r="H104" s="25"/>
      <c r="I104" s="25"/>
      <c r="J104" s="25"/>
      <c r="K104" s="25"/>
      <c r="L104" s="8"/>
    </row>
    <row r="105" spans="3:42" x14ac:dyDescent="0.25">
      <c r="C105" t="s">
        <v>60</v>
      </c>
      <c r="F105" s="26"/>
      <c r="H105" s="25"/>
      <c r="I105" s="25"/>
      <c r="J105" s="25"/>
      <c r="K105" s="25"/>
      <c r="L105" s="8"/>
    </row>
    <row r="106" spans="3:42" x14ac:dyDescent="0.25">
      <c r="D106" t="s">
        <v>61</v>
      </c>
      <c r="E106" t="s">
        <v>21</v>
      </c>
      <c r="F106" s="26"/>
      <c r="H106" s="25">
        <f>-H83</f>
        <v>0</v>
      </c>
      <c r="I106" s="25">
        <f t="shared" ref="I106:L106" si="39">-I83</f>
        <v>0</v>
      </c>
      <c r="J106" s="25">
        <f t="shared" si="39"/>
        <v>-1886.5746723895609</v>
      </c>
      <c r="K106" s="25">
        <f t="shared" si="39"/>
        <v>-3053.6626864663658</v>
      </c>
      <c r="L106" s="25">
        <f t="shared" si="39"/>
        <v>-2465.1338416663657</v>
      </c>
    </row>
    <row r="107" spans="3:42" x14ac:dyDescent="0.25">
      <c r="D107" t="s">
        <v>62</v>
      </c>
      <c r="E107" t="s">
        <v>21</v>
      </c>
      <c r="F107" s="26"/>
      <c r="H107" s="25"/>
      <c r="I107" s="25"/>
      <c r="J107" s="25"/>
      <c r="K107" s="25"/>
      <c r="L107" s="25"/>
      <c r="M107" s="8">
        <f>M97+M103</f>
        <v>150.86951382825515</v>
      </c>
      <c r="N107" s="8">
        <f t="shared" ref="N107:AP107" si="40">N97+N103</f>
        <v>156.18766419070113</v>
      </c>
      <c r="O107" s="8">
        <f t="shared" si="40"/>
        <v>161.69327935342335</v>
      </c>
      <c r="P107" s="8">
        <f t="shared" si="40"/>
        <v>167.39296745063149</v>
      </c>
      <c r="Q107" s="8">
        <f t="shared" si="40"/>
        <v>173.2935695532662</v>
      </c>
      <c r="R107" s="8">
        <f t="shared" si="40"/>
        <v>179.40216788001879</v>
      </c>
      <c r="S107" s="8">
        <f t="shared" si="40"/>
        <v>185.72609429778953</v>
      </c>
      <c r="T107" s="8">
        <f t="shared" si="40"/>
        <v>192.27293912178658</v>
      </c>
      <c r="U107" s="8">
        <f t="shared" si="40"/>
        <v>199.05056022582949</v>
      </c>
      <c r="V107" s="8">
        <f t="shared" si="40"/>
        <v>206.06709247378996</v>
      </c>
      <c r="W107" s="8">
        <f t="shared" si="40"/>
        <v>213.33095748349109</v>
      </c>
      <c r="X107" s="8">
        <f t="shared" si="40"/>
        <v>220.8508737347841</v>
      </c>
      <c r="Y107" s="8">
        <f t="shared" si="40"/>
        <v>228.63586703393531</v>
      </c>
      <c r="Z107" s="8">
        <f t="shared" si="40"/>
        <v>236.69528134688142</v>
      </c>
      <c r="AA107" s="8">
        <f t="shared" si="40"/>
        <v>245.03879001435899</v>
      </c>
      <c r="AB107" s="8">
        <f t="shared" si="40"/>
        <v>253.67640736236513</v>
      </c>
      <c r="AC107" s="8">
        <f t="shared" si="40"/>
        <v>262.61850072188849</v>
      </c>
      <c r="AD107" s="8">
        <f t="shared" si="40"/>
        <v>271.87580287233504</v>
      </c>
      <c r="AE107" s="8">
        <f t="shared" si="40"/>
        <v>281.45942492358472</v>
      </c>
      <c r="AF107" s="8">
        <f t="shared" si="40"/>
        <v>291.3808696521412</v>
      </c>
      <c r="AG107" s="8">
        <f t="shared" si="40"/>
        <v>301.65204530737913</v>
      </c>
      <c r="AH107" s="8">
        <f t="shared" si="40"/>
        <v>312.28527990446423</v>
      </c>
      <c r="AI107" s="8">
        <f t="shared" si="40"/>
        <v>323.29333602109659</v>
      </c>
      <c r="AJ107" s="8">
        <f t="shared" si="40"/>
        <v>334.68942611584021</v>
      </c>
      <c r="AK107" s="8">
        <f t="shared" si="40"/>
        <v>346.48722838642357</v>
      </c>
      <c r="AL107" s="8">
        <f t="shared" si="40"/>
        <v>358.70090318704501</v>
      </c>
      <c r="AM107" s="8">
        <f t="shared" si="40"/>
        <v>371.34511002438819</v>
      </c>
      <c r="AN107" s="8">
        <f t="shared" si="40"/>
        <v>1153.3050754582437</v>
      </c>
      <c r="AO107" s="8">
        <f t="shared" si="40"/>
        <v>1193.9590793681466</v>
      </c>
      <c r="AP107" s="8">
        <f t="shared" si="40"/>
        <v>1236.0461369158738</v>
      </c>
    </row>
    <row r="108" spans="3:42" x14ac:dyDescent="0.25">
      <c r="D108" t="s">
        <v>63</v>
      </c>
      <c r="E108" t="s">
        <v>21</v>
      </c>
      <c r="H108" s="8"/>
      <c r="I108" s="8"/>
      <c r="J108" s="8"/>
      <c r="K108" s="8"/>
      <c r="L108" s="8"/>
      <c r="M108" s="8">
        <f>M107</f>
        <v>150.86951382825515</v>
      </c>
      <c r="N108" s="8">
        <f t="shared" ref="N108:AP108" si="41">N107</f>
        <v>156.18766419070113</v>
      </c>
      <c r="O108" s="8">
        <f t="shared" si="41"/>
        <v>161.69327935342335</v>
      </c>
      <c r="P108" s="8">
        <f t="shared" si="41"/>
        <v>167.39296745063149</v>
      </c>
      <c r="Q108" s="8">
        <f t="shared" si="41"/>
        <v>173.2935695532662</v>
      </c>
      <c r="R108" s="8">
        <f t="shared" si="41"/>
        <v>179.40216788001879</v>
      </c>
      <c r="S108" s="8">
        <f t="shared" si="41"/>
        <v>185.72609429778953</v>
      </c>
      <c r="T108" s="8">
        <f t="shared" si="41"/>
        <v>192.27293912178658</v>
      </c>
      <c r="U108" s="8">
        <f t="shared" si="41"/>
        <v>199.05056022582949</v>
      </c>
      <c r="V108" s="8">
        <f t="shared" si="41"/>
        <v>206.06709247378996</v>
      </c>
      <c r="W108" s="8">
        <f t="shared" si="41"/>
        <v>213.33095748349109</v>
      </c>
      <c r="X108" s="8">
        <f t="shared" si="41"/>
        <v>220.8508737347841</v>
      </c>
      <c r="Y108" s="8">
        <f t="shared" si="41"/>
        <v>228.63586703393531</v>
      </c>
      <c r="Z108" s="8">
        <f t="shared" si="41"/>
        <v>236.69528134688142</v>
      </c>
      <c r="AA108" s="8">
        <f t="shared" si="41"/>
        <v>245.03879001435899</v>
      </c>
      <c r="AB108" s="8">
        <f t="shared" si="41"/>
        <v>253.67640736236513</v>
      </c>
      <c r="AC108" s="8">
        <f t="shared" si="41"/>
        <v>262.61850072188849</v>
      </c>
      <c r="AD108" s="8">
        <f t="shared" si="41"/>
        <v>271.87580287233504</v>
      </c>
      <c r="AE108" s="8">
        <f t="shared" si="41"/>
        <v>281.45942492358472</v>
      </c>
      <c r="AF108" s="8">
        <f t="shared" si="41"/>
        <v>291.3808696521412</v>
      </c>
      <c r="AG108" s="8">
        <f t="shared" si="41"/>
        <v>301.65204530737913</v>
      </c>
      <c r="AH108" s="8">
        <f t="shared" si="41"/>
        <v>312.28527990446423</v>
      </c>
      <c r="AI108" s="8">
        <f t="shared" si="41"/>
        <v>323.29333602109659</v>
      </c>
      <c r="AJ108" s="8">
        <f t="shared" si="41"/>
        <v>334.68942611584021</v>
      </c>
      <c r="AK108" s="8">
        <f t="shared" si="41"/>
        <v>346.48722838642357</v>
      </c>
      <c r="AL108" s="8">
        <f t="shared" si="41"/>
        <v>358.70090318704501</v>
      </c>
      <c r="AM108" s="8">
        <f t="shared" si="41"/>
        <v>371.34511002438819</v>
      </c>
      <c r="AN108" s="8">
        <f t="shared" si="41"/>
        <v>1153.3050754582437</v>
      </c>
      <c r="AO108" s="8">
        <f t="shared" si="41"/>
        <v>1193.9590793681466</v>
      </c>
      <c r="AP108" s="8">
        <f t="shared" si="41"/>
        <v>1236.0461369158738</v>
      </c>
    </row>
    <row r="109" spans="3:42" x14ac:dyDescent="0.25">
      <c r="D109" t="s">
        <v>75</v>
      </c>
      <c r="E109" t="s">
        <v>21</v>
      </c>
      <c r="H109" s="28"/>
      <c r="I109" s="28"/>
      <c r="J109" s="28"/>
      <c r="K109" s="28"/>
      <c r="L109" s="33">
        <v>6767.2624777548017</v>
      </c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</row>
    <row r="110" spans="3:42" x14ac:dyDescent="0.25">
      <c r="D110" t="s">
        <v>64</v>
      </c>
      <c r="E110" t="s">
        <v>21</v>
      </c>
      <c r="F110" s="26"/>
      <c r="H110" s="8">
        <f>H106+H108+H109</f>
        <v>0</v>
      </c>
      <c r="I110" s="8">
        <f t="shared" ref="I110:AP110" si="42">I106+I108+I109</f>
        <v>0</v>
      </c>
      <c r="J110" s="8">
        <f t="shared" si="42"/>
        <v>-1886.5746723895609</v>
      </c>
      <c r="K110" s="8">
        <f t="shared" si="42"/>
        <v>-3053.6626864663658</v>
      </c>
      <c r="L110" s="8">
        <f>L106+L108+L109</f>
        <v>4302.128636088436</v>
      </c>
      <c r="M110" s="8">
        <f t="shared" si="42"/>
        <v>150.86951382825515</v>
      </c>
      <c r="N110" s="8">
        <f t="shared" si="42"/>
        <v>156.18766419070113</v>
      </c>
      <c r="O110" s="8">
        <f t="shared" si="42"/>
        <v>161.69327935342335</v>
      </c>
      <c r="P110" s="8">
        <f t="shared" si="42"/>
        <v>167.39296745063149</v>
      </c>
      <c r="Q110" s="8">
        <f t="shared" si="42"/>
        <v>173.2935695532662</v>
      </c>
      <c r="R110" s="8">
        <f t="shared" si="42"/>
        <v>179.40216788001879</v>
      </c>
      <c r="S110" s="8">
        <f t="shared" si="42"/>
        <v>185.72609429778953</v>
      </c>
      <c r="T110" s="8">
        <f t="shared" si="42"/>
        <v>192.27293912178658</v>
      </c>
      <c r="U110" s="8">
        <f t="shared" si="42"/>
        <v>199.05056022582949</v>
      </c>
      <c r="V110" s="8">
        <f t="shared" si="42"/>
        <v>206.06709247378996</v>
      </c>
      <c r="W110" s="8">
        <f t="shared" si="42"/>
        <v>213.33095748349109</v>
      </c>
      <c r="X110" s="8">
        <f t="shared" si="42"/>
        <v>220.8508737347841</v>
      </c>
      <c r="Y110" s="8">
        <f t="shared" si="42"/>
        <v>228.63586703393531</v>
      </c>
      <c r="Z110" s="8">
        <f t="shared" si="42"/>
        <v>236.69528134688142</v>
      </c>
      <c r="AA110" s="8">
        <f t="shared" si="42"/>
        <v>245.03879001435899</v>
      </c>
      <c r="AB110" s="8">
        <f t="shared" si="42"/>
        <v>253.67640736236513</v>
      </c>
      <c r="AC110" s="8">
        <f t="shared" si="42"/>
        <v>262.61850072188849</v>
      </c>
      <c r="AD110" s="8">
        <f t="shared" si="42"/>
        <v>271.87580287233504</v>
      </c>
      <c r="AE110" s="8">
        <f t="shared" si="42"/>
        <v>281.45942492358472</v>
      </c>
      <c r="AF110" s="8">
        <f t="shared" si="42"/>
        <v>291.3808696521412</v>
      </c>
      <c r="AG110" s="8">
        <f t="shared" si="42"/>
        <v>301.65204530737913</v>
      </c>
      <c r="AH110" s="8">
        <f t="shared" si="42"/>
        <v>312.28527990446423</v>
      </c>
      <c r="AI110" s="8">
        <f t="shared" si="42"/>
        <v>323.29333602109659</v>
      </c>
      <c r="AJ110" s="8">
        <f t="shared" si="42"/>
        <v>334.68942611584021</v>
      </c>
      <c r="AK110" s="8">
        <f t="shared" si="42"/>
        <v>346.48722838642357</v>
      </c>
      <c r="AL110" s="8">
        <f t="shared" si="42"/>
        <v>358.70090318704501</v>
      </c>
      <c r="AM110" s="8">
        <f t="shared" si="42"/>
        <v>371.34511002438819</v>
      </c>
      <c r="AN110" s="8">
        <f t="shared" si="42"/>
        <v>1153.3050754582437</v>
      </c>
      <c r="AO110" s="8">
        <f t="shared" si="42"/>
        <v>1193.9590793681466</v>
      </c>
      <c r="AP110" s="8">
        <f t="shared" si="42"/>
        <v>1236.0461369158738</v>
      </c>
    </row>
    <row r="111" spans="3:42" x14ac:dyDescent="0.25">
      <c r="H111" s="25"/>
      <c r="I111" s="25"/>
      <c r="J111" s="25"/>
      <c r="K111" s="25"/>
      <c r="L111" s="25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</row>
    <row r="112" spans="3:42" x14ac:dyDescent="0.25">
      <c r="D112" t="s">
        <v>65</v>
      </c>
      <c r="E112" t="str">
        <f>IF(F112=0, "Yes", "No")</f>
        <v>No</v>
      </c>
      <c r="F112" s="8">
        <f>SUM(H112:AP112)</f>
        <v>-6767.2624777548017</v>
      </c>
      <c r="H112" s="8">
        <f t="shared" ref="H112:AP112" si="43">H97+H103-H110</f>
        <v>0</v>
      </c>
      <c r="I112" s="8">
        <f t="shared" si="43"/>
        <v>0</v>
      </c>
      <c r="J112" s="8">
        <f t="shared" si="43"/>
        <v>0</v>
      </c>
      <c r="K112" s="8">
        <f t="shared" si="43"/>
        <v>0</v>
      </c>
      <c r="L112" s="8">
        <f t="shared" si="43"/>
        <v>-6767.2624777548017</v>
      </c>
      <c r="M112" s="8">
        <f t="shared" si="43"/>
        <v>0</v>
      </c>
      <c r="N112" s="8">
        <f t="shared" si="43"/>
        <v>0</v>
      </c>
      <c r="O112" s="8">
        <f t="shared" si="43"/>
        <v>0</v>
      </c>
      <c r="P112" s="8">
        <f t="shared" si="43"/>
        <v>0</v>
      </c>
      <c r="Q112" s="8">
        <f t="shared" si="43"/>
        <v>0</v>
      </c>
      <c r="R112" s="8">
        <f t="shared" si="43"/>
        <v>0</v>
      </c>
      <c r="S112" s="8">
        <f t="shared" si="43"/>
        <v>0</v>
      </c>
      <c r="T112" s="8">
        <f t="shared" si="43"/>
        <v>0</v>
      </c>
      <c r="U112" s="8">
        <f t="shared" si="43"/>
        <v>0</v>
      </c>
      <c r="V112" s="8">
        <f t="shared" si="43"/>
        <v>0</v>
      </c>
      <c r="W112" s="8">
        <f t="shared" si="43"/>
        <v>0</v>
      </c>
      <c r="X112" s="8">
        <f t="shared" si="43"/>
        <v>0</v>
      </c>
      <c r="Y112" s="8">
        <f t="shared" si="43"/>
        <v>0</v>
      </c>
      <c r="Z112" s="8">
        <f t="shared" si="43"/>
        <v>0</v>
      </c>
      <c r="AA112" s="8">
        <f t="shared" si="43"/>
        <v>0</v>
      </c>
      <c r="AB112" s="8">
        <f t="shared" si="43"/>
        <v>0</v>
      </c>
      <c r="AC112" s="8">
        <f t="shared" si="43"/>
        <v>0</v>
      </c>
      <c r="AD112" s="8">
        <f t="shared" si="43"/>
        <v>0</v>
      </c>
      <c r="AE112" s="8">
        <f t="shared" si="43"/>
        <v>0</v>
      </c>
      <c r="AF112" s="8">
        <f t="shared" si="43"/>
        <v>0</v>
      </c>
      <c r="AG112" s="8">
        <f t="shared" si="43"/>
        <v>0</v>
      </c>
      <c r="AH112" s="8">
        <f t="shared" si="43"/>
        <v>0</v>
      </c>
      <c r="AI112" s="8">
        <f t="shared" si="43"/>
        <v>0</v>
      </c>
      <c r="AJ112" s="8">
        <f t="shared" si="43"/>
        <v>0</v>
      </c>
      <c r="AK112" s="8">
        <f t="shared" si="43"/>
        <v>0</v>
      </c>
      <c r="AL112" s="8">
        <f t="shared" si="43"/>
        <v>0</v>
      </c>
      <c r="AM112" s="8">
        <f t="shared" si="43"/>
        <v>0</v>
      </c>
      <c r="AN112" s="8">
        <f t="shared" si="43"/>
        <v>0</v>
      </c>
      <c r="AO112" s="8">
        <f t="shared" si="43"/>
        <v>0</v>
      </c>
      <c r="AP112" s="8">
        <f t="shared" si="43"/>
        <v>0</v>
      </c>
    </row>
    <row r="114" spans="2:42" x14ac:dyDescent="0.25">
      <c r="B114" s="11" t="s">
        <v>66</v>
      </c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</row>
    <row r="116" spans="2:42" x14ac:dyDescent="0.25">
      <c r="C116" t="s">
        <v>67</v>
      </c>
      <c r="E116" t="s">
        <v>71</v>
      </c>
      <c r="G116" s="30">
        <f>IRR(H97:AP97)</f>
        <v>3.1798460542632689E-2</v>
      </c>
    </row>
    <row r="117" spans="2:42" x14ac:dyDescent="0.25">
      <c r="C117" t="s">
        <v>68</v>
      </c>
      <c r="E117" t="s">
        <v>71</v>
      </c>
      <c r="G117" s="30">
        <f>IRR(H110:$AP$110)</f>
        <v>0.12948738899350243</v>
      </c>
    </row>
    <row r="118" spans="2:42" x14ac:dyDescent="0.25">
      <c r="C118" t="s">
        <v>69</v>
      </c>
      <c r="E118" t="s">
        <v>21</v>
      </c>
      <c r="G118" s="34">
        <f>NPV(F16,H110:AP110)</f>
        <v>-6.0322990840347419</v>
      </c>
    </row>
    <row r="119" spans="2:42" x14ac:dyDescent="0.25">
      <c r="G119" s="8"/>
    </row>
    <row r="120" spans="2:42" x14ac:dyDescent="0.25">
      <c r="C120" t="s">
        <v>70</v>
      </c>
      <c r="G120" s="8"/>
    </row>
    <row r="121" spans="2:42" x14ac:dyDescent="0.25">
      <c r="D121" t="s">
        <v>47</v>
      </c>
      <c r="E121" t="s">
        <v>71</v>
      </c>
      <c r="G121" s="32">
        <f>L87/L89</f>
        <v>0.45798500598371905</v>
      </c>
    </row>
    <row r="122" spans="2:42" x14ac:dyDescent="0.25">
      <c r="D122" t="s">
        <v>48</v>
      </c>
      <c r="E122" t="s">
        <v>71</v>
      </c>
      <c r="G122" s="32">
        <f>L88/L89</f>
        <v>0.54201499401628095</v>
      </c>
    </row>
    <row r="123" spans="2:42" x14ac:dyDescent="0.25">
      <c r="D123" t="s">
        <v>49</v>
      </c>
      <c r="E123" t="s">
        <v>71</v>
      </c>
      <c r="G123" s="32">
        <f>SUM(G121:G122)</f>
        <v>1</v>
      </c>
    </row>
    <row r="125" spans="2:42" x14ac:dyDescent="0.25"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49C7E6940D27438EDE14D23A85F9E1" ma:contentTypeVersion="18" ma:contentTypeDescription="Create a new document." ma:contentTypeScope="" ma:versionID="32a51b925f8742205333dd7394c2fa59">
  <xsd:schema xmlns:xsd="http://www.w3.org/2001/XMLSchema" xmlns:xs="http://www.w3.org/2001/XMLSchema" xmlns:p="http://schemas.microsoft.com/office/2006/metadata/properties" xmlns:ns2="4af518d1-2d15-4f81-af30-439d42c30f85" xmlns:ns3="7efa9154-2918-404c-9d8c-063dca52bf61" targetNamespace="http://schemas.microsoft.com/office/2006/metadata/properties" ma:root="true" ma:fieldsID="dd4d53c396227de2d113e6b3494f6ae2" ns2:_="" ns3:_="">
    <xsd:import namespace="4af518d1-2d15-4f81-af30-439d42c30f85"/>
    <xsd:import namespace="7efa9154-2918-404c-9d8c-063dca52bf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518d1-2d15-4f81-af30-439d42c30f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b31746f8-ec82-4651-9f39-76474ef175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fa9154-2918-404c-9d8c-063dca52bf61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89c8ccd-b156-4acd-8b84-a9b4c7784b54}" ma:internalName="TaxCatchAll" ma:showField="CatchAllData" ma:web="7efa9154-2918-404c-9d8c-063dca52bf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fa9154-2918-404c-9d8c-063dca52bf61" xsi:nil="true"/>
    <lcf76f155ced4ddcb4097134ff3c332f xmlns="4af518d1-2d15-4f81-af30-439d42c30f8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4DA381-E126-47C6-9DE8-6FEEC656A48B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4af518d1-2d15-4f81-af30-439d42c30f85"/>
    <ds:schemaRef ds:uri="7efa9154-2918-404c-9d8c-063dca52bf61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45857D-905E-419A-B295-4EBD884702C6}">
  <ds:schemaRefs>
    <ds:schemaRef ds:uri="http://schemas.microsoft.com/office/2006/metadata/properties"/>
    <ds:schemaRef ds:uri="http://www.w3.org/2000/xmlns/"/>
    <ds:schemaRef ds:uri="7efa9154-2918-404c-9d8c-063dca52bf61"/>
    <ds:schemaRef ds:uri="http://www.w3.org/2001/XMLSchema-instance"/>
    <ds:schemaRef ds:uri="4af518d1-2d15-4f81-af30-439d42c30f85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EB9B3F9-9B20-4FE2-BE7E-A41C70C58EE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RiverCross Final</vt:lpstr>
      <vt:lpstr>RiverCross + Bridge + Tunnel</vt:lpstr>
      <vt:lpstr>Gov't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 Adams</dc:creator>
  <cp:keywords/>
  <dc:description/>
  <cp:lastModifiedBy>Eli Adams</cp:lastModifiedBy>
  <cp:revision/>
  <dcterms:created xsi:type="dcterms:W3CDTF">2022-02-01T01:50:44Z</dcterms:created>
  <dcterms:modified xsi:type="dcterms:W3CDTF">2024-05-02T22:58:01Z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0x010100E149C7E6940D27438EDE14D23A85F9E1</vt:lpwstr>
  </property>
  <property fmtid="{D5CDD505-2E9C-101B-9397-08002B2CF9AE}" pid="3" name="MediaServiceImageTags">
    <vt:lpwstr/>
  </property>
</Properties>
</file>